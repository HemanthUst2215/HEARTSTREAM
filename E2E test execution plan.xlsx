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79\Documents\"/>
    </mc:Choice>
  </mc:AlternateContent>
  <xr:revisionPtr revIDLastSave="0" documentId="13_ncr:1_{088E0BFE-AB8D-4A26-AD48-38941EBFDD45}" xr6:coauthVersionLast="47" xr6:coauthVersionMax="47" xr10:uidLastSave="{00000000-0000-0000-0000-000000000000}"/>
  <bookViews>
    <workbookView xWindow="-110" yWindow="-110" windowWidth="19420" windowHeight="11500" xr2:uid="{C1CEF99E-8D20-FD4A-B22D-25DEA2E229E0}"/>
  </bookViews>
  <sheets>
    <sheet name="Test Coverage" sheetId="3" r:id="rId1"/>
    <sheet name="E2E Test Cases" sheetId="2" r:id="rId2"/>
    <sheet name="ISV and Purpose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3" l="1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5" i="3"/>
  <c r="E6" i="3"/>
  <c r="E7" i="3"/>
  <c r="B5" i="3"/>
  <c r="B6" i="3"/>
  <c r="B7" i="3"/>
</calcChain>
</file>

<file path=xl/sharedStrings.xml><?xml version="1.0" encoding="utf-8"?>
<sst xmlns="http://schemas.openxmlformats.org/spreadsheetml/2006/main" count="3284" uniqueCount="1185">
  <si>
    <t>ISV / Integration Apps</t>
  </si>
  <si>
    <t>Typical Business Owner</t>
  </si>
  <si>
    <t>EDI Vendor</t>
  </si>
  <si>
    <t>(SPS Commerce)</t>
  </si>
  <si>
    <t>Supply Chain / Customer Operations</t>
  </si>
  <si>
    <t>DHL</t>
  </si>
  <si>
    <t>PTC Arena/CAD Talk</t>
  </si>
  <si>
    <t>Zinfi</t>
  </si>
  <si>
    <t>Deel</t>
  </si>
  <si>
    <t>Veeva</t>
  </si>
  <si>
    <t>Vertex (D365-Indirect tax)</t>
  </si>
  <si>
    <t>Tax Calc / Address validation</t>
  </si>
  <si>
    <t>Navan</t>
  </si>
  <si>
    <t>Travel &amp; Expense</t>
  </si>
  <si>
    <t>Logistics / Supply Chain partner</t>
  </si>
  <si>
    <t>Product Management / Engineering / PLM tool</t>
  </si>
  <si>
    <t>Channel Sales / Partner Management/Possibly B2B direct and indirect sales interface</t>
  </si>
  <si>
    <t>Human Resources Application</t>
  </si>
  <si>
    <t>Quality docs, traininng and compliance product</t>
  </si>
  <si>
    <t>Truvio - B2C (ECom)</t>
  </si>
  <si>
    <t>B2C sales Webstore</t>
  </si>
  <si>
    <t>Heartstream Greenfield IT — End-to-End Test Cases</t>
  </si>
  <si>
    <t>Scope: 18 future-state business processes | Positive and key control/exception coverage | Step-level owners and systems</t>
  </si>
  <si>
    <t>Scenario ID</t>
  </si>
  <si>
    <t>Business Process</t>
  </si>
  <si>
    <t>Test Case ID</t>
  </si>
  <si>
    <t>Test Case Title</t>
  </si>
  <si>
    <t>Test Type</t>
  </si>
  <si>
    <t>Priority</t>
  </si>
  <si>
    <t>Preconditions</t>
  </si>
  <si>
    <t>Step #</t>
  </si>
  <si>
    <t>Detailed Test Step</t>
  </si>
  <si>
    <t>Step Owner</t>
  </si>
  <si>
    <t>Application / ISV</t>
  </si>
  <si>
    <t>Test Data / Input</t>
  </si>
  <si>
    <t>Expected Result</t>
  </si>
  <si>
    <t>Actual Result</t>
  </si>
  <si>
    <t>Status</t>
  </si>
  <si>
    <t>Defect ID</t>
  </si>
  <si>
    <t>Comments</t>
  </si>
  <si>
    <t>B2B Direct Sales</t>
  </si>
  <si>
    <t>TC01-P01</t>
  </si>
  <si>
    <t>Direct sale from lead through cash and installed base</t>
  </si>
  <si>
    <t>Positive E2E</t>
  </si>
  <si>
    <t>Critical</t>
  </si>
  <si>
    <t>Products, prices and a creditworthy B2B customer are available; inventory exists.</t>
  </si>
  <si>
    <t>Maintain sellable products, base prices and customer-specific trade agreement/discount rules.</t>
  </si>
  <si>
    <t>Sales / Finance</t>
  </si>
  <si>
    <t>D365 CE Sales / D365 F&amp;O</t>
  </si>
  <si>
    <t>AED bundle, service and subscription SKUs</t>
  </si>
  <si>
    <t>Products and valid commercial rules are available for quoting.</t>
  </si>
  <si>
    <t>Not Run</t>
  </si>
  <si>
    <t>Aggregate customer data, segment the account, execute a campaign, create and qualify the lead.</t>
  </si>
  <si>
    <t>Marketing</t>
  </si>
  <si>
    <t>D365 CE Marketing/Sales</t>
  </si>
  <si>
    <t>Target account and campaign response</t>
  </si>
  <si>
    <t>A qualified sales lead is created with complete source and score.</t>
  </si>
  <si>
    <t>Hand off the qualified lead, assign ownership and convert it to an opportunity.</t>
  </si>
  <si>
    <t>Sales Operations</t>
  </si>
  <si>
    <t>D365 CE Sales</t>
  </si>
  <si>
    <t>Qualified lead</t>
  </si>
  <si>
    <t>Sales accepts the lead and an owned opportunity is created.</t>
  </si>
  <si>
    <t>Create a quotation with products, services/subscriptions, payment terms and negotiated pricing.</t>
  </si>
  <si>
    <t>Sales</t>
  </si>
  <si>
    <t>Customer requirements and pricing rules</t>
  </si>
  <si>
    <t>Quote totals, discounts, tax basis and terms are correct.</t>
  </si>
  <si>
    <t>Obtain customer approval/sign-off and complete quotation approval.</t>
  </si>
  <si>
    <t>Sales / Customer</t>
  </si>
  <si>
    <t>Approved quote or customer PO</t>
  </si>
  <si>
    <t>Approved quotation is locked with approval evidence.</t>
  </si>
  <si>
    <t>Create the customer contract, associate sites and terms, onboard the customer and complete credit control.</t>
  </si>
  <si>
    <t>D365 CE / D365 F&amp;O</t>
  </si>
  <si>
    <t>Approved quote, legal entity, credit data</t>
  </si>
  <si>
    <t>Active contract and customer account are ready for order processing.</t>
  </si>
  <si>
    <t>Capture the customer order and validate availability, compliance and any required approvals.</t>
  </si>
  <si>
    <t>Retail Operations</t>
  </si>
  <si>
    <t>D365 Commerce HQ / D365 F&amp;O</t>
  </si>
  <si>
    <t>Customer order</t>
  </si>
  <si>
    <t>Validated sales order is confirmed and released for fulfillment.</t>
  </si>
  <si>
    <t>Synchronize the order to F&amp;O, SPS Commerce and DHL; return status to CE.</t>
  </si>
  <si>
    <t>SPS Commerce / D365 F&amp;O / DHL</t>
  </si>
  <si>
    <t>Confirmed sales order</t>
  </si>
  <si>
    <t>Matching order IDs, quantities and status exist across all systems.</t>
  </si>
  <si>
    <t>Pick, ship and deliver the order; update shipment status and notify the customer.</t>
  </si>
  <si>
    <t>Warehouse / Logistics</t>
  </si>
  <si>
    <t>DHL / D365 F&amp;O</t>
  </si>
  <si>
    <t>Released fulfillment order</t>
  </si>
  <si>
    <t>Delivery confirmation and final order status are recorded.</t>
  </si>
  <si>
    <t>Generate and post the invoice, recognize revenue, collect and apply cash.</t>
  </si>
  <si>
    <t>Finance</t>
  </si>
  <si>
    <t>D365 F&amp;O</t>
  </si>
  <si>
    <t>Fulfilled order and payment</t>
  </si>
  <si>
    <t>Invoice is posted, revenue recognized and receivable settled.</t>
  </si>
  <si>
    <t>Create the installed-base record from the fulfilled order.</t>
  </si>
  <si>
    <t>Service Operations</t>
  </si>
  <si>
    <t>D365 CE Customer Service</t>
  </si>
  <si>
    <t>Delivered serialized device</t>
  </si>
  <si>
    <t>Installed base contains correct customer, site, serial number and coverage.</t>
  </si>
  <si>
    <t>TC01-N01</t>
  </si>
  <si>
    <t>Quote or credit approval exception blocks order release</t>
  </si>
  <si>
    <t>Negative / Control</t>
  </si>
  <si>
    <t>High</t>
  </si>
  <si>
    <t>A quote exceeds approval threshold or customer fails credit policy.</t>
  </si>
  <si>
    <t>Create a quote with an out-of-policy discount and submit for approval.</t>
  </si>
  <si>
    <t>Discount above approval limit</t>
  </si>
  <si>
    <t>Quote is routed to the correct approver and cannot be finalized.</t>
  </si>
  <si>
    <t>Reject the quote and record the reason.</t>
  </si>
  <si>
    <t>Sales Approver</t>
  </si>
  <si>
    <t>Reject: discount not supported</t>
  </si>
  <si>
    <t>Quote status becomes rejected and audit history is retained.</t>
  </si>
  <si>
    <t>Revise pricing within policy and resubmit.</t>
  </si>
  <si>
    <t>Revised discount</t>
  </si>
  <si>
    <t>Approval workflow restarts with the revised total.</t>
  </si>
  <si>
    <t>Fail the customer credit check during contract/order readiness.</t>
  </si>
  <si>
    <t>Finance / Credit Control</t>
  </si>
  <si>
    <t>Customer over credit limit</t>
  </si>
  <si>
    <t>Credit hold is applied and order release is blocked.</t>
  </si>
  <si>
    <t>Approve an authorized exception or reduce exposure and recheck credit.</t>
  </si>
  <si>
    <t>Finance Approver</t>
  </si>
  <si>
    <t>Approved override or payment</t>
  </si>
  <si>
    <t>Hold is released only with approval evidence.</t>
  </si>
  <si>
    <t>Confirm the order can proceed after both quote and credit approvals.</t>
  </si>
  <si>
    <t>Cleared order</t>
  </si>
  <si>
    <t>Order is confirmed without bypassing controls.</t>
  </si>
  <si>
    <t>B2B Through Reseller</t>
  </si>
  <si>
    <t>TC02-P01</t>
  </si>
  <si>
    <t>Reseller onboarding through sale, fulfillment and rebate settlement</t>
  </si>
  <si>
    <t>Partner program, products, prices and rebate rules are configured.</t>
  </si>
  <si>
    <t>Define partner tiers, eligibility, benefits, rebates and MDF framework.</t>
  </si>
  <si>
    <t>Partner Management</t>
  </si>
  <si>
    <t>Partner program policy</t>
  </si>
  <si>
    <t>Active partner program and eligibility rules are available.</t>
  </si>
  <si>
    <t>Capture the application, evaluate eligibility and approve enrollment.</t>
  </si>
  <si>
    <t>New reseller application</t>
  </si>
  <si>
    <t>Approved partner profile is created.</t>
  </si>
  <si>
    <t>Create partner account, contract, pricing, discounts and rebate eligibility.</t>
  </si>
  <si>
    <t>Partner Management / Finance</t>
  </si>
  <si>
    <t>Zinfi / D365 F&amp;O</t>
  </si>
  <si>
    <t>Approved profile and commercial terms</t>
  </si>
  <si>
    <t>Active partner contract contains correct commercial rules.</t>
  </si>
  <si>
    <t>Provision portal credentials, deliver training and record certification.</t>
  </si>
  <si>
    <t>Partner users and course completion</t>
  </si>
  <si>
    <t>Partner can access the portal and is marked enabled/certified.</t>
  </si>
  <si>
    <t>Synchronize partner profile to D365 CE and F&amp;O and commercial terms back to Zinfi.</t>
  </si>
  <si>
    <t>Zinfi / D365 CE / D365 F&amp;O</t>
  </si>
  <si>
    <t>Active partner account</t>
  </si>
  <si>
    <t>Partner IDs and terms match in all systems.</t>
  </si>
  <si>
    <t>Register and qualify a partner-sourced lead; create the opportunity.</t>
  </si>
  <si>
    <t>Partner / Sales</t>
  </si>
  <si>
    <t>Zinfi / D365 CE Sales</t>
  </si>
  <si>
    <t>Customer lead</t>
  </si>
  <si>
    <t>Qualified partner lead and opportunity preserve attribution.</t>
  </si>
  <si>
    <t>Create and approve a quotation using partner pricing, promotions and terms.</t>
  </si>
  <si>
    <t>Partner opportunity</t>
  </si>
  <si>
    <t>Approved quote uses valid partner entitlements.</t>
  </si>
  <si>
    <t>Create customer contract and capture the reseller-linked customer order.</t>
  </si>
  <si>
    <t>Sales / Partner</t>
  </si>
  <si>
    <t>D365 CE / Commerce HQ</t>
  </si>
  <si>
    <t>Approved quote</t>
  </si>
  <si>
    <t>Customer order retains partner and contract references.</t>
  </si>
  <si>
    <t>Validate, synchronize, fulfill and deliver the order.</t>
  </si>
  <si>
    <t>Retail Operations / Warehouse</t>
  </si>
  <si>
    <t>D365 F&amp;O / SPS Commerce / DHL</t>
  </si>
  <si>
    <t>Submitted order</t>
  </si>
  <si>
    <t>Delivered order and statuses reconcile across systems.</t>
  </si>
  <si>
    <t>Post invoice and collect customer payment.</t>
  </si>
  <si>
    <t>Delivery confirmation</t>
  </si>
  <si>
    <t>Posted invoice and settled receivable are created.</t>
  </si>
  <si>
    <t>Calculate, validate, approve and settle rebate/MDF.</t>
  </si>
  <si>
    <t>Finance / Partner Management</t>
  </si>
  <si>
    <t>D365 F&amp;O / Zinfi</t>
  </si>
  <si>
    <t>Eligible transaction and MDF claim</t>
  </si>
  <si>
    <t>Correct earned rebate/MDF is approved, paid and reported.</t>
  </si>
  <si>
    <t>TC02-N01</t>
  </si>
  <si>
    <t>Ineligible partner or invalid rebate claim is rejected</t>
  </si>
  <si>
    <t>Eligibility and rebate/MDF limits are configured.</t>
  </si>
  <si>
    <t>Submit a partner application missing a mandatory eligibility criterion.</t>
  </si>
  <si>
    <t>Prospective Partner</t>
  </si>
  <si>
    <t>Incomplete certification or territory conflict</t>
  </si>
  <si>
    <t>Application is flagged ineligible and is not activated.</t>
  </si>
  <si>
    <t>Record rejection and verify no credentials or D365 partner account are provisioned.</t>
  </si>
  <si>
    <t>Zinfi / D365 CE</t>
  </si>
  <si>
    <t>Rejected application</t>
  </si>
  <si>
    <t>No active partner access or downstream account exists.</t>
  </si>
  <si>
    <t>For an active partner, submit a rebate/MDF claim outside the eligible period or above limits.</t>
  </si>
  <si>
    <t>Partner</t>
  </si>
  <si>
    <t>Invalid claim</t>
  </si>
  <si>
    <t>Claim is held or rejected with a clear reason.</t>
  </si>
  <si>
    <t>Validate the claim against sales attribution, rules and supporting evidence.</t>
  </si>
  <si>
    <t>Claim and transaction history</t>
  </si>
  <si>
    <t>Ineligible amount is excluded and audit detail is retained.</t>
  </si>
  <si>
    <t>Confirm no payout is generated until an authorized correction is approved.</t>
  </si>
  <si>
    <t>Rejected claim</t>
  </si>
  <si>
    <t>Payment proposal excludes the claim.</t>
  </si>
  <si>
    <t>B2B Direct Service &amp; Solution Delivery</t>
  </si>
  <si>
    <t>TC03-P01</t>
  </si>
  <si>
    <t>Service contract activation through entitled case closure</t>
  </si>
  <si>
    <t>Service products, prices and a customer/partner account exist.</t>
  </si>
  <si>
    <t>Create service quotation with applicable products, markets, price group and commercial terms.</t>
  </si>
  <si>
    <t>Service Sales</t>
  </si>
  <si>
    <t>Service coverage requirement</t>
  </si>
  <si>
    <t>Service contract quotation is complete and priced correctly.</t>
  </si>
  <si>
    <t>Approve and activate the service/partner commercial contract.</t>
  </si>
  <si>
    <t>Service Sales / Partner Management</t>
  </si>
  <si>
    <t>D365 CE / Zinfi</t>
  </si>
  <si>
    <t>Signed contract</t>
  </si>
  <si>
    <t>Active contract and coverage dates are recorded.</t>
  </si>
  <si>
    <t>Register and validate the deal/opportunity, including duplicate check.</t>
  </si>
  <si>
    <t>Partner deal details</t>
  </si>
  <si>
    <t>Validated deal is linked to account, products and forecast.</t>
  </si>
  <si>
    <t>Create or update the installed asset and service entitlement.</t>
  </si>
  <si>
    <t>Device serial and contract</t>
  </si>
  <si>
    <t>Asset has active coverage and SLA.</t>
  </si>
  <si>
    <t>Submit a service request with channel, issue, asset and contract details.</t>
  </si>
  <si>
    <t>Customer / Partner</t>
  </si>
  <si>
    <t>Zinfi / Customer Portal</t>
  </si>
  <si>
    <t>Covered device issue</t>
  </si>
  <si>
    <t>Request is acknowledged and a case is created.</t>
  </si>
  <si>
    <t>Validate entitlement, classify, route and assign the service case.</t>
  </si>
  <si>
    <t>Customer Service</t>
  </si>
  <si>
    <t>D365 Customer Service</t>
  </si>
  <si>
    <t>Service request</t>
  </si>
  <si>
    <t>Case is routed to the correct queue with SLA timer.</t>
  </si>
  <si>
    <t>Investigate, diagnose, communicate updates and record the action plan.</t>
  </si>
  <si>
    <t>Assigned case</t>
  </si>
  <si>
    <t>Diagnosis, activity history and action plan are complete.</t>
  </si>
  <si>
    <t>Escalate if SLA is at risk and implement the approved resolution.</t>
  </si>
  <si>
    <t>Customer Service Lead</t>
  </si>
  <si>
    <t>SLA threshold and action plan</t>
  </si>
  <si>
    <t>Escalation is visible and resolution is completed.</t>
  </si>
  <si>
    <t>Close the case and update SLA, resolution and trend metrics.</t>
  </si>
  <si>
    <t>Resolved case</t>
  </si>
  <si>
    <t>Closed case retains resolution, entitlement and performance data.</t>
  </si>
  <si>
    <t>TC03-N01</t>
  </si>
  <si>
    <t>Potential complaint is routed to Veeva and regulatory stakeholders</t>
  </si>
  <si>
    <t>Negative / Compliance</t>
  </si>
  <si>
    <t>Complaint criteria and Veeva integration/routing are configured.</t>
  </si>
  <si>
    <t>Submit a service issue containing a potential safety or quality complaint.</t>
  </si>
  <si>
    <t>Customer Portal / Zinfi</t>
  </si>
  <si>
    <t>Safety-related issue description</t>
  </si>
  <si>
    <t>Service case is created without losing original details.</t>
  </si>
  <si>
    <t>Assess complaint criteria during investigation.</t>
  </si>
  <si>
    <t>Assigned complaint-like case</t>
  </si>
  <si>
    <t>Case is flagged as a potential complaint.</t>
  </si>
  <si>
    <t>Create the complaint record in Veeva and transfer required case/asset data.</t>
  </si>
  <si>
    <t>Customer Service / Quality</t>
  </si>
  <si>
    <t>Veeva / D365 Customer Service</t>
  </si>
  <si>
    <t>Case, device serial, patient-safety details</t>
  </si>
  <si>
    <t>Veeva complaint ID is returned and linked to the service case.</t>
  </si>
  <si>
    <t>Notify Regulatory/Quality and trigger return or R&amp;D investigation where required.</t>
  </si>
  <si>
    <t>Quality / Regulatory</t>
  </si>
  <si>
    <t>Complaint record</t>
  </si>
  <si>
    <t>Correct stakeholders and downstream workflow are engaged.</t>
  </si>
  <si>
    <t>Verify the service case cannot be closed before required complaint actions are complete.</t>
  </si>
  <si>
    <t>D365 Customer Service / Veeva</t>
  </si>
  <si>
    <t>Open regulatory tasks</t>
  </si>
  <si>
    <t>Closure is blocked or controlled with audit evidence.</t>
  </si>
  <si>
    <t>Service Support</t>
  </si>
  <si>
    <t>TC04-P01</t>
  </si>
  <si>
    <t>Tier 3 investigation through ASP corrective service and closure</t>
  </si>
  <si>
    <t>A valid installed asset, entitlement and triaged Tier 1/2 case exist.</t>
  </si>
  <si>
    <t>Register the support request, validate installed product and coverage, and create the case.</t>
  </si>
  <si>
    <t>Customer, asset, issue and entitlement</t>
  </si>
  <si>
    <t>Service case is complete and eligible for support.</t>
  </si>
  <si>
    <t>Assess severity, priority, patient-safety and early-life-failure flags; review knowledge.</t>
  </si>
  <si>
    <t>Case symptoms and history</t>
  </si>
  <si>
    <t>Case is correctly classified and routed.</t>
  </si>
  <si>
    <t>Assign Tier 3 engineering/product specialist and ownership.</t>
  </si>
  <si>
    <t>Advanced support case</t>
  </si>
  <si>
    <t>Tier 3 owner and SLA are set.</t>
  </si>
  <si>
    <t>Perform detailed investigation, capture evidence and determine root cause.</t>
  </si>
  <si>
    <t>Engineering / Product Specialist</t>
  </si>
  <si>
    <t>Logs, photos and device data</t>
  </si>
  <si>
    <t>Root cause assessment and evidence are documented.</t>
  </si>
  <si>
    <t>Define and approve corrective action and decide that field intervention is required.</t>
  </si>
  <si>
    <t>Engineering / Customer Service</t>
  </si>
  <si>
    <t>Root cause and recommendation</t>
  </si>
  <si>
    <t>Approved resolution specifies work and parts.</t>
  </si>
  <si>
    <t>Create work order and hand off asset, issue and action details to the ASP.</t>
  </si>
  <si>
    <t>D365 Customer Service / D365 F&amp;O</t>
  </si>
  <si>
    <t>Approved field action</t>
  </si>
  <si>
    <t>ASP receives an actionable work order.</t>
  </si>
  <si>
    <t>Repair, replace, update or correct the device and capture completion evidence.</t>
  </si>
  <si>
    <t>Authorized Service Provider</t>
  </si>
  <si>
    <t>ASP / D365 Customer Service</t>
  </si>
  <si>
    <t>Work order</t>
  </si>
  <si>
    <t>Execution result and evidence are returned.</t>
  </si>
  <si>
    <t>Update installed base/service records and validate the result with the customer.</t>
  </si>
  <si>
    <t>ASP completion and customer confirmation</t>
  </si>
  <si>
    <t>Asset history and resolution validation are complete.</t>
  </si>
  <si>
    <t>Record root cause, update knowledge and close the case.</t>
  </si>
  <si>
    <t>Validated resolution</t>
  </si>
  <si>
    <t>Case closes with reusable knowledge and full audit trail.</t>
  </si>
  <si>
    <t>TC04-N01</t>
  </si>
  <si>
    <t>Unresolved root cause or non-reimbursable ASP work stays controlled</t>
  </si>
  <si>
    <t>Tier 3 case requires field investigation.</t>
  </si>
  <si>
    <t>Complete initial investigation without a confirmed root cause.</t>
  </si>
  <si>
    <t>Engineering</t>
  </si>
  <si>
    <t>Insufficient evidence</t>
  </si>
  <si>
    <t>Case remains open and additional investigation is requested.</t>
  </si>
  <si>
    <t>Create a field investigation work order with required evidence criteria.</t>
  </si>
  <si>
    <t>Field investigation request</t>
  </si>
  <si>
    <t>ASP receives scope but no final corrective action authorization.</t>
  </si>
  <si>
    <t>Return an execution result that does not meet evidence or reimbursement requirements.</t>
  </si>
  <si>
    <t>Incomplete work evidence</t>
  </si>
  <si>
    <t>Work is flagged for review and reimbursement is not approved.</t>
  </si>
  <si>
    <t>Escalate to engineering/quality and define the next corrective action.</t>
  </si>
  <si>
    <t>D365 Customer Service / Veeva if complaint</t>
  </si>
  <si>
    <t>Failed validation</t>
  </si>
  <si>
    <t>Escalation and revised action are documented.</t>
  </si>
  <si>
    <t>Verify case closure is blocked until customer validation and required records are complete.</t>
  </si>
  <si>
    <t>Open tasks</t>
  </si>
  <si>
    <t>Case remains open with SLA/escalation status visible.</t>
  </si>
  <si>
    <t>B2B Service Request (AED)</t>
  </si>
  <si>
    <t>TC05-P01</t>
  </si>
  <si>
    <t>AED warranty replacement, return, failure analysis and closure</t>
  </si>
  <si>
    <t>Distributor account, serialized device, active warranty and replacement stock exist.</t>
  </si>
  <si>
    <t>Distributor submits warranty request with serial, failure details and documents.</t>
  </si>
  <si>
    <t>Distributor</t>
  </si>
  <si>
    <t>Zinfi / B2C Portal</t>
  </si>
  <si>
    <t>Defective AED/accessory</t>
  </si>
  <si>
    <t>Request is acknowledged with complete evidence.</t>
  </si>
  <si>
    <t>Review account, installed device, coverage and entitlement; approve warranty.</t>
  </si>
  <si>
    <t>Warranty request</t>
  </si>
  <si>
    <t>Warranty authorization is recorded.</t>
  </si>
  <si>
    <t>Create RMA and replacement/return order and send request to F&amp;O.</t>
  </si>
  <si>
    <t>Approved warranty</t>
  </si>
  <si>
    <t>Linked RMA and replacement order are created.</t>
  </si>
  <si>
    <t>Validate and reserve inventory and release the order.</t>
  </si>
  <si>
    <t>Warehouse / Supply Chain</t>
  </si>
  <si>
    <t>Replacement SKU</t>
  </si>
  <si>
    <t>Inventory is reserved and fulfillment order released.</t>
  </si>
  <si>
    <t>Pick, pack, ship and generate tracking through DHL/SPS.</t>
  </si>
  <si>
    <t>DHL / SPS Commerce</t>
  </si>
  <si>
    <t>Released replacement order</t>
  </si>
  <si>
    <t>Tracking is synchronized and customer/distributor notified.</t>
  </si>
  <si>
    <t>Confirm replacement delivery and update warranty case/RMA.</t>
  </si>
  <si>
    <t>Replacement is marked delivered.</t>
  </si>
  <si>
    <t>Receive, inspect and process the returned defective device.</t>
  </si>
  <si>
    <t>RMA return</t>
  </si>
  <si>
    <t>Return receipt and inspection are recorded.</t>
  </si>
  <si>
    <t>Dispatch defective device to the failure-analysis lab and confirm receipt.</t>
  </si>
  <si>
    <t>Logistics / R&amp;D</t>
  </si>
  <si>
    <t>DHL / R&amp;D Lab</t>
  </si>
  <si>
    <t>Returned serialized device</t>
  </si>
  <si>
    <t>Chain of custody and lab receipt are recorded.</t>
  </si>
  <si>
    <t>Perform failure/root-cause analysis and record reason code.</t>
  </si>
  <si>
    <t>R&amp;D / Failure Analysis Lab</t>
  </si>
  <si>
    <t>R&amp;D Lab / Veeva</t>
  </si>
  <si>
    <t>Defective device</t>
  </si>
  <si>
    <t>Analysis result and failure code are available.</t>
  </si>
  <si>
    <t>Close warranty transactions and linked Veeva case where applicable.</t>
  </si>
  <si>
    <t>Completed return and analysis</t>
  </si>
  <si>
    <t>Warranty and quality records close with traceability.</t>
  </si>
  <si>
    <t>TC05-N01</t>
  </si>
  <si>
    <t>Warranty rejection or replacement backorder is handled</t>
  </si>
  <si>
    <t>Negative / Exception</t>
  </si>
  <si>
    <t>Use an expired warranty or unavailable replacement SKU.</t>
  </si>
  <si>
    <t>Submit a replacement request for a device outside warranty or entitlement.</t>
  </si>
  <si>
    <t>Expired coverage</t>
  </si>
  <si>
    <t>Request reaches warranty validation.</t>
  </si>
  <si>
    <t>Reject the request and record the policy reason; verify no replacement order is created.</t>
  </si>
  <si>
    <t>Ineligible request</t>
  </si>
  <si>
    <t>Distributor is notified and no fulfillment transaction exists.</t>
  </si>
  <si>
    <t>Repeat with an eligible device but zero replacement inventory.</t>
  </si>
  <si>
    <t>Eligible serial, unavailable SKU</t>
  </si>
  <si>
    <t>Approved warranty order is placed on backorder.</t>
  </si>
  <si>
    <t>Verify procurement/replenishment is triggered and customer receives revised timing.</t>
  </si>
  <si>
    <t>Supply Chain</t>
  </si>
  <si>
    <t>Backordered item</t>
  </si>
  <si>
    <t>Supply action and notification are recorded.</t>
  </si>
  <si>
    <t>Confirm shipment proceeds only after inventory becomes available and reservation succeeds.</t>
  </si>
  <si>
    <t>Warehouse</t>
  </si>
  <si>
    <t>D365 F&amp;O / DHL</t>
  </si>
  <si>
    <t>Replenished stock</t>
  </si>
  <si>
    <t>Order releases without duplicate shipment.</t>
  </si>
  <si>
    <t>B2B Service Support (ALS)</t>
  </si>
  <si>
    <t>TC06-P01</t>
  </si>
  <si>
    <t>ALS spare-parts diagnosis, fulfillment, installation and return</t>
  </si>
  <si>
    <t>ASP is active; device, entitlement and spare-part inventory exist.</t>
  </si>
  <si>
    <t>Diagnose the device issue and identify required spare parts and warranty scenario.</t>
  </si>
  <si>
    <t>ASP Portal / D365 Customer Service</t>
  </si>
  <si>
    <t>ALS device symptoms</t>
  </si>
  <si>
    <t>Required part and chargeability are determined.</t>
  </si>
  <si>
    <t>Create and submit the spare-parts order request.</t>
  </si>
  <si>
    <t>ASP Portal</t>
  </si>
  <si>
    <t>Part, quantity and device serial</t>
  </si>
  <si>
    <t>Request is submitted with case reference.</t>
  </si>
  <si>
    <t>Validate warranty/entitlement and create the spare-parts sales order.</t>
  </si>
  <si>
    <t>Service Operations / Sales</t>
  </si>
  <si>
    <t>Order request</t>
  </si>
  <si>
    <t>Eligible order and pricing/chargeback treatment are correct.</t>
  </si>
  <si>
    <t>Check inventory, allocate parts and release for fulfillment.</t>
  </si>
  <si>
    <t>Spare-parts sales order</t>
  </si>
  <si>
    <t>Inventory is reserved and order released.</t>
  </si>
  <si>
    <t>Pick, pack, ship and update tracking.</t>
  </si>
  <si>
    <t>Released order</t>
  </si>
  <si>
    <t>ASP receives tracking and confirmed delivery.</t>
  </si>
  <si>
    <t>Install the part and verify the device works.</t>
  </si>
  <si>
    <t>Delivered spare part</t>
  </si>
  <si>
    <t>Resolution and installed part serial/lot are recorded.</t>
  </si>
  <si>
    <t>Create a return request for unused/defective part where applicable.</t>
  </si>
  <si>
    <t>ASP Portal / D365 F&amp;O</t>
  </si>
  <si>
    <t>Returnable spare part</t>
  </si>
  <si>
    <t>Eligible RMA is generated.</t>
  </si>
  <si>
    <t>Receive and process the return and close all transactions.</t>
  </si>
  <si>
    <t>Warehouse / Finance</t>
  </si>
  <si>
    <t>Returned part</t>
  </si>
  <si>
    <t>Inventory/financial treatment and return closure are correct.</t>
  </si>
  <si>
    <t>TC06-N01</t>
  </si>
  <si>
    <t>Out-of-warranty spare part creates correct chargeback</t>
  </si>
  <si>
    <t>Negative / Commercial</t>
  </si>
  <si>
    <t>Device entitlement is expired and chargeable pricing is configured.</t>
  </si>
  <si>
    <t>Submit a spare-parts request for an out-of-warranty device.</t>
  </si>
  <si>
    <t>Expired device coverage</t>
  </si>
  <si>
    <t>Request is flagged as chargeable.</t>
  </si>
  <si>
    <t>Review eligibility and present/assign the correct chargeback scenario.</t>
  </si>
  <si>
    <t>Part and account pricing</t>
  </si>
  <si>
    <t>Charge and approval requirement are calculated.</t>
  </si>
  <si>
    <t>Decline the charge and verify no inventory is released.</t>
  </si>
  <si>
    <t>Declined quote</t>
  </si>
  <si>
    <t>Order is cancelled/held and inventory remains available.</t>
  </si>
  <si>
    <t>Approve the charge and resubmit.</t>
  </si>
  <si>
    <t>Approved charge</t>
  </si>
  <si>
    <t>Sales order becomes eligible for fulfillment.</t>
  </si>
  <si>
    <t>Fulfill, invoice and verify the financial posting references the service case.</t>
  </si>
  <si>
    <t>Approved chargeable order</t>
  </si>
  <si>
    <t>Shipment and invoice post once with correct account/amount.</t>
  </si>
  <si>
    <t>B2C AED Shop</t>
  </si>
  <si>
    <t>TC07-P01</t>
  </si>
  <si>
    <t>Consumer AED webstore purchase through revenue recognition</t>
  </si>
  <si>
    <t>Sellable AED inventory, tax/address rules and credit-card test account exist.</t>
  </si>
  <si>
    <t>Access the e-shop, register/login, browse AEDs/accessories and add items to cart.</t>
  </si>
  <si>
    <t>Customer</t>
  </si>
  <si>
    <t>Consumer and product selections</t>
  </si>
  <si>
    <t>Cart contains correct SKUs, prices and quantities.</t>
  </si>
  <si>
    <t>Review cart, enter delivery address and validate address/tax.</t>
  </si>
  <si>
    <t>Truvio / Vertex</t>
  </si>
  <si>
    <t>Valid deliverable address</t>
  </si>
  <si>
    <t>Address is accepted and indirect tax is calculated correctly.</t>
  </si>
  <si>
    <t>Complete credit-card payment and create the eCommerce order.</t>
  </si>
  <si>
    <t>Truvio / Payment Gateway</t>
  </si>
  <si>
    <t>Approved test card</t>
  </si>
  <si>
    <t>Single paid order and confirmation are created.</t>
  </si>
  <si>
    <t>Synchronize order to Commerce HQ and D365 F&amp;O.</t>
  </si>
  <si>
    <t>Truvio / D365 Commerce HQ / D365 F&amp;O</t>
  </si>
  <si>
    <t>Paid eCommerce order</t>
  </si>
  <si>
    <t>Order IDs, totals, tax and customer data reconcile.</t>
  </si>
  <si>
    <t>Validate and confirm the sales order; submit fulfillment request.</t>
  </si>
  <si>
    <t>Retail Operations / Sales</t>
  </si>
  <si>
    <t>Received order</t>
  </si>
  <si>
    <t>Order is released only after validation.</t>
  </si>
  <si>
    <t>Synchronize to SPS/DHL, fulfill, ship and update tracking/status.</t>
  </si>
  <si>
    <t>SPS Commerce / DHL</t>
  </si>
  <si>
    <t>Shipment and status updates return to source systems.</t>
  </si>
  <si>
    <t>Notify the customer and confirm delivery.</t>
  </si>
  <si>
    <t>Warehouse / Customer Operations</t>
  </si>
  <si>
    <t>Truvio / DHL</t>
  </si>
  <si>
    <t>Tracking and delivery</t>
  </si>
  <si>
    <t>Customer sees final delivery status.</t>
  </si>
  <si>
    <t>Generate/post invoice and recognize revenue.</t>
  </si>
  <si>
    <t>Delivered order</t>
  </si>
  <si>
    <t>Invoice and revenue equal the paid order, including tax.</t>
  </si>
  <si>
    <t>TC07-N01</t>
  </si>
  <si>
    <t>Invalid address or declined card prevents duplicate order</t>
  </si>
  <si>
    <t>Invalid address and declined-card test data are available.</t>
  </si>
  <si>
    <t>Enter an invalid or unsupported delivery address at checkout.</t>
  </si>
  <si>
    <t>Invalid postal address</t>
  </si>
  <si>
    <t>Address error is shown and order cannot be submitted.</t>
  </si>
  <si>
    <t>Correct the address and verify tax is recalculated.</t>
  </si>
  <si>
    <t>Valid corrected address</t>
  </si>
  <si>
    <t>New tax and total are displayed before payment.</t>
  </si>
  <si>
    <t>Submit payment using a declined card.</t>
  </si>
  <si>
    <t>Declined test card</t>
  </si>
  <si>
    <t>Payment fails and no confirmed order is sent downstream.</t>
  </si>
  <si>
    <t>Retry with an approved card.</t>
  </si>
  <si>
    <t>Exactly one paid order is created.</t>
  </si>
  <si>
    <t>Verify Commerce HQ/F&amp;O contain no duplicate or unpaid sales order.</t>
  </si>
  <si>
    <t>Customer checkout reference</t>
  </si>
  <si>
    <t>Only the successful order is present.</t>
  </si>
  <si>
    <t>B2C App Purchase</t>
  </si>
  <si>
    <t>TC08-P01</t>
  </si>
  <si>
    <t>Copernicus consumables alert through purchase and fulfillment</t>
  </si>
  <si>
    <t>Registered device has pads/battery approaching replacement; product stock exists.</t>
  </si>
  <si>
    <t>Monitor device consumable status and identify replacement need.</t>
  </si>
  <si>
    <t>Copernicus App</t>
  </si>
  <si>
    <t>Device usage/replacement cycle</t>
  </si>
  <si>
    <t>Eligible pads/battery are identified.</t>
  </si>
  <si>
    <t>Notify the consumer and display recommended compatible products.</t>
  </si>
  <si>
    <t>Registered device model</t>
  </si>
  <si>
    <t>App shows correct replacement SKU and timing.</t>
  </si>
  <si>
    <t>Customer selects Buy Now; auto-add recommended item and optional accessories.</t>
  </si>
  <si>
    <t>Copernicus App / Truvio</t>
  </si>
  <si>
    <t>Recommendation</t>
  </si>
  <si>
    <t>Cart has compatible items and correct quantities.</t>
  </si>
  <si>
    <t>Review cart, capture delivery details and process payment.</t>
  </si>
  <si>
    <t>Copernicus App / Truvio / Payment Gateway</t>
  </si>
  <si>
    <t>Valid address and card</t>
  </si>
  <si>
    <t>Paid eCommerce replacement order is created.</t>
  </si>
  <si>
    <t>App order</t>
  </si>
  <si>
    <t>Order values and device/customer references reconcile.</t>
  </si>
  <si>
    <t>Validate, confirm and release the order for fulfillment.</t>
  </si>
  <si>
    <t>Confirmed order is ready for shipment.</t>
  </si>
  <si>
    <t>Fulfill, ship, update status and notify customer in app/email.</t>
  </si>
  <si>
    <t>SPS Commerce / DHL / Copernicus App</t>
  </si>
  <si>
    <t>Customer receives tracking and delivery confirmation.</t>
  </si>
  <si>
    <t>Post invoice and recognize revenue.</t>
  </si>
  <si>
    <t>Financial postings equal the order and payment.</t>
  </si>
  <si>
    <t>TC08-N01</t>
  </si>
  <si>
    <t>Consumer defers reminder and no order is created</t>
  </si>
  <si>
    <t>Negative / Alternate</t>
  </si>
  <si>
    <t>Medium</t>
  </si>
  <si>
    <t>Replacement recommendation is active.</t>
  </si>
  <si>
    <t>Display the consumable replacement notification.</t>
  </si>
  <si>
    <t>Eligible device alert</t>
  </si>
  <si>
    <t>Recommendation and Buy Now option are visible.</t>
  </si>
  <si>
    <t>Customer declines Buy Now or defers the reminder.</t>
  </si>
  <si>
    <t>Defer selection</t>
  </si>
  <si>
    <t>No cart checkout or order is created.</t>
  </si>
  <si>
    <t>Verify reminder preference and next trigger are stored.</t>
  </si>
  <si>
    <t>Deferred alert</t>
  </si>
  <si>
    <t>Reminder is rescheduled according to rule.</t>
  </si>
  <si>
    <t>Confirm no order, payment, invoice or fulfillment transaction exists.</t>
  </si>
  <si>
    <t>Retail Operations / Finance</t>
  </si>
  <si>
    <t>Truvio / D365 F&amp;O</t>
  </si>
  <si>
    <t>Device/customer reference</t>
  </si>
  <si>
    <t>Downstream systems remain unchanged.</t>
  </si>
  <si>
    <t>At the next trigger, verify the recommendation reappears without duplication.</t>
  </si>
  <si>
    <t>Next reminder date</t>
  </si>
  <si>
    <t>Single current reminder is shown.</t>
  </si>
  <si>
    <t>Software Upgrade</t>
  </si>
  <si>
    <t>TC09-P01</t>
  </si>
  <si>
    <t>Eligible software upgrade purchase, entitlement and device activation</t>
  </si>
  <si>
    <t>Eligible installed device, compatible package and payment/PO route exist.</t>
  </si>
  <si>
    <t>Identify upgrade-eligible devices and present options, benefits and supported devices.</t>
  </si>
  <si>
    <t>Installed base and device configuration</t>
  </si>
  <si>
    <t>Only compatible upgrades are offered.</t>
  </si>
  <si>
    <t>Select upgrade features and target devices and add upgrade to cart.</t>
  </si>
  <si>
    <t>Eligible devices</t>
  </si>
  <si>
    <t>Upgrade cart contains correct feature/device scope.</t>
  </si>
  <si>
    <t>Review details and complete payment or approved PO checkout.</t>
  </si>
  <si>
    <t>Approved card or PO</t>
  </si>
  <si>
    <t>Paid/approved upgrade order is created.</t>
  </si>
  <si>
    <t>Create and synchronize software/hardware upgrade order to Commerce HQ, F&amp;O and CRM.</t>
  </si>
  <si>
    <t>D365 Commerce HQ / D365 F&amp;O / D365 CE</t>
  </si>
  <si>
    <t>Upgrade order</t>
  </si>
  <si>
    <t>Order IDs, devices and value reconcile.</t>
  </si>
  <si>
    <t>Validate order, create entitlement and confirm purchase.</t>
  </si>
  <si>
    <t>Retail Operations / Service Operations</t>
  </si>
  <si>
    <t>D365 F&amp;O / D365 CE</t>
  </si>
  <si>
    <t>Validated order</t>
  </si>
  <si>
    <t>Active entitlement is linked to customer and devices.</t>
  </si>
  <si>
    <t>Generate upgrade work order and sales order.</t>
  </si>
  <si>
    <t>Service Operations / Finance</t>
  </si>
  <si>
    <t>Active entitlement</t>
  </si>
  <si>
    <t>Work order and sales order reference the entitlement.</t>
  </si>
  <si>
    <t>Publish package and authorize download.</t>
  </si>
  <si>
    <t>Software Distribution</t>
  </si>
  <si>
    <t>Software Distribution System</t>
  </si>
  <si>
    <t>Work order and package</t>
  </si>
  <si>
    <t>Correct signed package is available to target devices.</t>
  </si>
  <si>
    <t>Download, install and activate the upgrade.</t>
  </si>
  <si>
    <t>Customer / Device</t>
  </si>
  <si>
    <t>Copernicus App / Device</t>
  </si>
  <si>
    <t>Authorized package</t>
  </si>
  <si>
    <t>Upgrade completes and device reports active version.</t>
  </si>
  <si>
    <t>Notify customer, update upgrade history and installed base.</t>
  </si>
  <si>
    <t>Copernicus App / D365 CE</t>
  </si>
  <si>
    <t>Activation confirmation</t>
  </si>
  <si>
    <t>Installed base/version and customer history are updated.</t>
  </si>
  <si>
    <t>Post invoice, recognize revenue and collect/apply cash for PO route.</t>
  </si>
  <si>
    <t>Completed upgrade order</t>
  </si>
  <si>
    <t>Financial treatment is correct for payment method.</t>
  </si>
  <si>
    <t>TC09-N01</t>
  </si>
  <si>
    <t>Ineligible or failed upgrade does not activate entitlement incorrectly</t>
  </si>
  <si>
    <t>Use an unsupported device or simulate installation failure.</t>
  </si>
  <si>
    <t>Attempt to select an upgrade for an unsupported device.</t>
  </si>
  <si>
    <t>Incompatible device/version</t>
  </si>
  <si>
    <t>Selection is blocked with compatibility reason.</t>
  </si>
  <si>
    <t>Verify no paid order or entitlement is created for the blocked selection.</t>
  </si>
  <si>
    <t>Blocked attempt</t>
  </si>
  <si>
    <t>No downstream transaction exists.</t>
  </si>
  <si>
    <t>For an eligible device, purchase the upgrade and simulate download/install failure.</t>
  </si>
  <si>
    <t>Copernicus App / Software Distribution System</t>
  </si>
  <si>
    <t>Corrupt or interrupted installation</t>
  </si>
  <si>
    <t>Failure is logged and device remains on prior working version.</t>
  </si>
  <si>
    <t>Verify entitlement remains valid for retry but completion status is not set.</t>
  </si>
  <si>
    <t>D365 CE</t>
  </si>
  <si>
    <t>Failed activation</t>
  </si>
  <si>
    <t>Entitlement and work order show pending/failed, not completed.</t>
  </si>
  <si>
    <t>Retry with valid package and confirm one successful activation/history entry.</t>
  </si>
  <si>
    <t>Software Distribution / Customer</t>
  </si>
  <si>
    <t>Software Distribution System / Copernicus App</t>
  </si>
  <si>
    <t>Valid package</t>
  </si>
  <si>
    <t>Upgrade completes without duplicate billing or entitlement.</t>
  </si>
  <si>
    <t>Auto-renewal Subscription</t>
  </si>
  <si>
    <t>TC10-P01</t>
  </si>
  <si>
    <t>Auto-renewal from trigger through uninterrupted service</t>
  </si>
  <si>
    <t>Active subscription has auto-renewal enabled and a valid payment method.</t>
  </si>
  <si>
    <t>Review active terms and identify the subscription by expiry/reorder/replacement trigger.</t>
  </si>
  <si>
    <t>Active auto-renew subscription</t>
  </si>
  <si>
    <t>Subscription is selected once as a renewal candidate.</t>
  </si>
  <si>
    <t>Send expiry notice with renewal terms, pricing and required regulatory information.</t>
  </si>
  <si>
    <t>D365 CE / Copernicus App</t>
  </si>
  <si>
    <t>Renewal candidate</t>
  </si>
  <si>
    <t>Customer receives complete notice within the configured lead time.</t>
  </si>
  <si>
    <t>Initiate renewal based on hardware, consumables, service/software line composition.</t>
  </si>
  <si>
    <t>Subscription components</t>
  </si>
  <si>
    <t>Renewal order contains all eligible lines and dates.</t>
  </si>
  <si>
    <t>Process stored payment and confirm transaction.</t>
  </si>
  <si>
    <t>Retail Operations / Customer</t>
  </si>
  <si>
    <t>Commerce HQ / Payment Gateway</t>
  </si>
  <si>
    <t>Valid payment token</t>
  </si>
  <si>
    <t>Single successful charge and renewal order are recorded.</t>
  </si>
  <si>
    <t>Synchronize and validate the renewal order in Commerce HQ.</t>
  </si>
  <si>
    <t>D365 Commerce HQ</t>
  </si>
  <si>
    <t>Renewal sales order</t>
  </si>
  <si>
    <t>Validated order reconciles to subscription and payment.</t>
  </si>
  <si>
    <t>Create/activate renewal entitlement and extend coverage period.</t>
  </si>
  <si>
    <t>Validated renewal order</t>
  </si>
  <si>
    <t>New entitlement begins without overlap gap or duplicate term.</t>
  </si>
  <si>
    <t>Update subscription status and maintain remote service access.</t>
  </si>
  <si>
    <t>D365 CE / Remote Connectivity Platform</t>
  </si>
  <si>
    <t>Renewed entitlement</t>
  </si>
  <si>
    <t>Connectivity remains uninterrupted.</t>
  </si>
  <si>
    <t>Display/send confirmation and update subscription history.</t>
  </si>
  <si>
    <t>Customer Operations</t>
  </si>
  <si>
    <t>Copernicus App / Email / D365 CE</t>
  </si>
  <si>
    <t>Active renewed subscription</t>
  </si>
  <si>
    <t>Customer and audit history show the new term.</t>
  </si>
  <si>
    <t>TC10-N01</t>
  </si>
  <si>
    <t>Auto-renewal payment failure places renewal on hold</t>
  </si>
  <si>
    <t>Auto-renewal is enabled but payment method will be declined.</t>
  </si>
  <si>
    <t>Trigger renewal and send the pre-renewal notification.</t>
  </si>
  <si>
    <t>Expiring subscription</t>
  </si>
  <si>
    <t>Customer is notified before charge attempt.</t>
  </si>
  <si>
    <t>Attempt renewal payment using declined/expired payment token.</t>
  </si>
  <si>
    <t>Payment Gateway / Commerce HQ</t>
  </si>
  <si>
    <t>Declined payment token</t>
  </si>
  <si>
    <t>Payment fails and no active renewal is posted.</t>
  </si>
  <si>
    <t>Place subscription renewal on hold/deferred and notify customer.</t>
  </si>
  <si>
    <t>Payment failure</t>
  </si>
  <si>
    <t>Status, reason and retry instructions are visible.</t>
  </si>
  <si>
    <t>Verify entitlement is not extended beyond authorized grace policy.</t>
  </si>
  <si>
    <t>Failed renewal</t>
  </si>
  <si>
    <t>Access follows configured grace/termination rule.</t>
  </si>
  <si>
    <t>Update payment method and retry once.</t>
  </si>
  <si>
    <t>Copernicus App / Payment Gateway</t>
  </si>
  <si>
    <t>Valid replacement method</t>
  </si>
  <si>
    <t>One successful renewal is created without duplicate charge.</t>
  </si>
  <si>
    <t>If customer cancels, send cancellation/service termination notice and stop future retries.</t>
  </si>
  <si>
    <t>Cancellation selection</t>
  </si>
  <si>
    <t>Auto-renew flag is off and termination date is recorded.</t>
  </si>
  <si>
    <t>Subscription Renewal (Non-auto)</t>
  </si>
  <si>
    <t>TC11-P01</t>
  </si>
  <si>
    <t>Customer-initiated renewal through payment and service continuity</t>
  </si>
  <si>
    <t>Active non-auto subscription is approaching expiry.</t>
  </si>
  <si>
    <t>Identify the expiring non-auto subscription using configured triggers.</t>
  </si>
  <si>
    <t>Active subscription</t>
  </si>
  <si>
    <t>Subscription appears once in renewal candidates.</t>
  </si>
  <si>
    <t>Send renewal notice and present term, price and cancellation options.</t>
  </si>
  <si>
    <t>Customer can review accurate renewal choices.</t>
  </si>
  <si>
    <t>Customer accepts, reviews renewal details and proceeds to checkout.</t>
  </si>
  <si>
    <t>Selected term</t>
  </si>
  <si>
    <t>Checkout references the correct subscription.</t>
  </si>
  <si>
    <t>Process payment and confirm the transaction.</t>
  </si>
  <si>
    <t>Customer / Retail Operations</t>
  </si>
  <si>
    <t>Approved card</t>
  </si>
  <si>
    <t>Payment confirmation and renewal order are created.</t>
  </si>
  <si>
    <t>Create subscription order, synchronize to Commerce HQ and validate details.</t>
  </si>
  <si>
    <t>Renewal transaction</t>
  </si>
  <si>
    <t>Validated order matches selected term and payment.</t>
  </si>
  <si>
    <t>Extend entitlement, update subscription and maintain service access.</t>
  </si>
  <si>
    <t>Validated confirmed order</t>
  </si>
  <si>
    <t>New term is active with no service gap.</t>
  </si>
  <si>
    <t>Send confirmation and update subscription history.</t>
  </si>
  <si>
    <t>Customer and audit records show renewal.</t>
  </si>
  <si>
    <t>TC11-N01</t>
  </si>
  <si>
    <t>Customer cancellation stops renewal and terminates service correctly</t>
  </si>
  <si>
    <t>Non-auto subscription renewal notice has been sent.</t>
  </si>
  <si>
    <t>Open the renewal notice and select cancellation instead of renewal.</t>
  </si>
  <si>
    <t>Cancellation confirmation is requested.</t>
  </si>
  <si>
    <t>Confirm cancellation and capture reason/effective date.</t>
  </si>
  <si>
    <t>Cancellation choice</t>
  </si>
  <si>
    <t>Renewal decision is recorded as cancelled.</t>
  </si>
  <si>
    <t>Verify no checkout, payment or renewal order is created.</t>
  </si>
  <si>
    <t>Commerce HQ / D365 F&amp;O</t>
  </si>
  <si>
    <t>Subscription reference</t>
  </si>
  <si>
    <t>No financial or order transaction exists.</t>
  </si>
  <si>
    <t>End entitlement/service on the correct contract date.</t>
  </si>
  <si>
    <t>Cancellation effective date</t>
  </si>
  <si>
    <t>Access remains through allowed term and then terminates.</t>
  </si>
  <si>
    <t>Send cancellation and service termination notice and update history.</t>
  </si>
  <si>
    <t>Terminated subscription</t>
  </si>
  <si>
    <t>Customer receives notice and history is auditable.</t>
  </si>
  <si>
    <t>Subscription via PO</t>
  </si>
  <si>
    <t>TC12-P01</t>
  </si>
  <si>
    <t>Subscription renewal by approved purchase order</t>
  </si>
  <si>
    <t>Customer is eligible for PO billing and has an expiring subscription.</t>
  </si>
  <si>
    <t>Monitor terms, identify expiring subscription and verify PO eligibility.</t>
  </si>
  <si>
    <t>PO-billable customer/subscription</t>
  </si>
  <si>
    <t>Eligible renewal candidate is created.</t>
  </si>
  <si>
    <t>Send expiry notification and present PO renewal option.</t>
  </si>
  <si>
    <t>D365 CE / Customer Portal</t>
  </si>
  <si>
    <t>Customer sees correct term and PO route.</t>
  </si>
  <si>
    <t>Select renewal term, create request and submit PO details/document.</t>
  </si>
  <si>
    <t>Customer Portal</t>
  </si>
  <si>
    <t>Valid PO number, amount and document</t>
  </si>
  <si>
    <t>Submitted PO is linked to the subscription.</t>
  </si>
  <si>
    <t>Receive sales order request and validate PO, subscription, amount and customer authority.</t>
  </si>
  <si>
    <t>Submitted PO</t>
  </si>
  <si>
    <t>Order is approved and customer is notified.</t>
  </si>
  <si>
    <t>Synchronize approved sales order to D365 F&amp;O.</t>
  </si>
  <si>
    <t>Approved order</t>
  </si>
  <si>
    <t>Order values and PO reference reconcile.</t>
  </si>
  <si>
    <t>Create renewal work order, link approved order and initiate entitlement renewal.</t>
  </si>
  <si>
    <t>Approved sales order</t>
  </si>
  <si>
    <t>Renewal workflow references the PO/order.</t>
  </si>
  <si>
    <t>Extend entitlement and maintain remote connectivity.</t>
  </si>
  <si>
    <t>Renewal initiated</t>
  </si>
  <si>
    <t>Subscription is active for the new period.</t>
  </si>
  <si>
    <t>Generate/send customer invoice and update billing status.</t>
  </si>
  <si>
    <t>Approved fulfilled renewal</t>
  </si>
  <si>
    <t>Invoice carries correct PO number and terms.</t>
  </si>
  <si>
    <t>D365 CE / Email</t>
  </si>
  <si>
    <t>Customer sees active renewal and invoice reference.</t>
  </si>
  <si>
    <t>TC12-N01</t>
  </si>
  <si>
    <t>Invalid or over-value PO is rejected without entitlement extension</t>
  </si>
  <si>
    <t>Use an invalid PO number or amount below renewal value.</t>
  </si>
  <si>
    <t>Submit renewal request with invalid, duplicate or insufficient-value PO.</t>
  </si>
  <si>
    <t>Invalid PO</t>
  </si>
  <si>
    <t>Request is received but not approved.</t>
  </si>
  <si>
    <t>Validate PO and reject/return it with a specific reason.</t>
  </si>
  <si>
    <t>Order decision is rejected and customer is notified.</t>
  </si>
  <si>
    <t>Verify no sales order is synchronized and no invoice is issued.</t>
  </si>
  <si>
    <t>Rejected request</t>
  </si>
  <si>
    <t>No posting or billing transaction exists.</t>
  </si>
  <si>
    <t>Verify entitlement is not extended and connectivity follows expiry/grace policy.</t>
  </si>
  <si>
    <t>Rejected renewal</t>
  </si>
  <si>
    <t>Subscription status is not falsely active.</t>
  </si>
  <si>
    <t>Resubmit a corrected PO and confirm the controlled approval flow restarts.</t>
  </si>
  <si>
    <t>Customer Portal / D365 CE</t>
  </si>
  <si>
    <t>Corrected PO</t>
  </si>
  <si>
    <t>New version is approved with audit history preserved.</t>
  </si>
  <si>
    <t>Social Commerce</t>
  </si>
  <si>
    <t>TC13-P01</t>
  </si>
  <si>
    <t>Social channel setup through customer order and performance reporting</t>
  </si>
  <si>
    <t>Target platform, products, inventory and commercial model are approved.</t>
  </si>
  <si>
    <t>Define social-commerce strategy, target platform, assortment and governance.</t>
  </si>
  <si>
    <t>Approved channel business case</t>
  </si>
  <si>
    <t>Channel strategy and operating model are documented.</t>
  </si>
  <si>
    <t>Recruit platform/partner, agree commercial terms and configure integrations.</t>
  </si>
  <si>
    <t>Zinfi / Social Platform</t>
  </si>
  <si>
    <t>Partner and agreement</t>
  </si>
  <si>
    <t>Active social-commerce channel is created.</t>
  </si>
  <si>
    <t>Onboard partner, publish catalog/content and enable promotions.</t>
  </si>
  <si>
    <t>Partner Management / Marketing</t>
  </si>
  <si>
    <t>Catalog and campaign assets</t>
  </si>
  <si>
    <t>Partner can sell approved products at correct prices.</t>
  </si>
  <si>
    <t>Execute campaign/influencer activity and track qualified demand.</t>
  </si>
  <si>
    <t>Social Platform / Zinfi</t>
  </si>
  <si>
    <t>Campaign and MDF plan</t>
  </si>
  <si>
    <t>Traffic and conversion attribution are captured.</t>
  </si>
  <si>
    <t>Customer discovers product and places an order on the channel.</t>
  </si>
  <si>
    <t>Social Commerce Platform</t>
  </si>
  <si>
    <t>Product, address, payment</t>
  </si>
  <si>
    <t>eCommerce order contains customer and channel attribution.</t>
  </si>
  <si>
    <t>Synchronize to Commerce HQ/F&amp;O; validate, confirm and release order.</t>
  </si>
  <si>
    <t>Channel order</t>
  </si>
  <si>
    <t>Order is confirmed with correct totals and source.</t>
  </si>
  <si>
    <t>Send order to SPS/DHL, fulfill, ship and synchronize status to CE/app.</t>
  </si>
  <si>
    <t>SPS Commerce / DHL / D365 CE</t>
  </si>
  <si>
    <t>Delivery and status updates reconcile.</t>
  </si>
  <si>
    <t>Invoice and recognize revenue.</t>
  </si>
  <si>
    <t>Invoice and revenue are posted correctly.</t>
  </si>
  <si>
    <t>Capture demand signals, forecast/WoC, reviews and platform performance.</t>
  </si>
  <si>
    <t>SCM / Marketing</t>
  </si>
  <si>
    <t>D365 F&amp;O / Social Platform</t>
  </si>
  <si>
    <t>Sales, inventory and engagement data</t>
  </si>
  <si>
    <t>Forecast and performance reporting include the transaction.</t>
  </si>
  <si>
    <t>TC13-N01</t>
  </si>
  <si>
    <t>Channel order integration failure is recovered without duplication</t>
  </si>
  <si>
    <t>Negative / Integration</t>
  </si>
  <si>
    <t>A valid social order exists; integration failure can be simulated.</t>
  </si>
  <si>
    <t>Place a valid order on the social platform.</t>
  </si>
  <si>
    <t>Paid order</t>
  </si>
  <si>
    <t>Source order is confirmed once.</t>
  </si>
  <si>
    <t>Interrupt synchronization to Commerce HQ/F&amp;O.</t>
  </si>
  <si>
    <t>Integration / Commerce HQ</t>
  </si>
  <si>
    <t>Source order ID</t>
  </si>
  <si>
    <t>Failure is logged and order is not silently lost.</t>
  </si>
  <si>
    <t>Verify fulfillment is blocked while downstream validation is absent.</t>
  </si>
  <si>
    <t>Missing downstream order</t>
  </si>
  <si>
    <t>No warehouse release occurs.</t>
  </si>
  <si>
    <t>Replay/retry the integration after correcting the issue.</t>
  </si>
  <si>
    <t>SPS Commerce / Integration</t>
  </si>
  <si>
    <t>Original source order ID</t>
  </si>
  <si>
    <t>One downstream order is created with original attribution.</t>
  </si>
  <si>
    <t>Complete fulfillment and verify one invoice, one shipment and reconciled status.</t>
  </si>
  <si>
    <t>Recovered order</t>
  </si>
  <si>
    <t>No duplicate financial or logistics transaction exists.</t>
  </si>
  <si>
    <t>Affiliates Programs</t>
  </si>
  <si>
    <t>TC14-P01</t>
  </si>
  <si>
    <t>Affiliate activation, attributed sale and commission-ready reporting</t>
  </si>
  <si>
    <t>Affiliate strategy, commission rules, products and inventory exist.</t>
  </si>
  <si>
    <t>Define affiliate types, eligibility, commission model and governance.</t>
  </si>
  <si>
    <t>Affiliate program policy</t>
  </si>
  <si>
    <t>Approved program and commission rules are active.</t>
  </si>
  <si>
    <t>Recruit affiliate, validate eligibility, execute contract and activate relationship.</t>
  </si>
  <si>
    <t>Affiliate application</t>
  </si>
  <si>
    <t>Active contracted affiliate exists.</t>
  </si>
  <si>
    <t>Provision affiliate ID/link/promo code and marketing assets.</t>
  </si>
  <si>
    <t>Zinfi / Truvio</t>
  </si>
  <si>
    <t>Affiliate account</t>
  </si>
  <si>
    <t>Tracking identifiers and approved content are usable.</t>
  </si>
  <si>
    <t>Publish affiliate promotions and drive traffic to the e-shop.</t>
  </si>
  <si>
    <t>Marketing / Affiliate</t>
  </si>
  <si>
    <t>Campaign and promo code</t>
  </si>
  <si>
    <t>Visit and lead carry affiliate attribution.</t>
  </si>
  <si>
    <t>Customer purchases through affiliate link/code.</t>
  </si>
  <si>
    <t>Affiliate-attributed cart</t>
  </si>
  <si>
    <t>Order records affiliate, promotion and price correctly.</t>
  </si>
  <si>
    <t>Synchronize, validate, confirm and fulfill the order.</t>
  </si>
  <si>
    <t>Commerce HQ / D365 F&amp;O / SPS / DHL</t>
  </si>
  <si>
    <t>Paid affiliate order</t>
  </si>
  <si>
    <t>Delivered order preserves affiliate reference.</t>
  </si>
  <si>
    <t>Revenue is posted once and links to order.</t>
  </si>
  <si>
    <t>Verify conversion and commission-eligible transaction in affiliate reporting.</t>
  </si>
  <si>
    <t>Delivered non-returned sale</t>
  </si>
  <si>
    <t>Correct affiliate and commission basis are reported.</t>
  </si>
  <si>
    <t>Update forecasting, customer voice and platform performance metrics.</t>
  </si>
  <si>
    <t>D365 F&amp;O / Truvio</t>
  </si>
  <si>
    <t>Sales and review data</t>
  </si>
  <si>
    <t>Reporting includes attributed demand and outcomes.</t>
  </si>
  <si>
    <t>TC14-N01</t>
  </si>
  <si>
    <t>Invalid affiliate code or returned order excludes commission</t>
  </si>
  <si>
    <t>Use expired promo code and a returnable affiliate order.</t>
  </si>
  <si>
    <t>Attempt checkout with expired or unauthorized affiliate code.</t>
  </si>
  <si>
    <t>Truvio / Zinfi</t>
  </si>
  <si>
    <t>Expired code</t>
  </si>
  <si>
    <t>Discount/attribution is rejected with clear message.</t>
  </si>
  <si>
    <t>Complete purchase without a valid code and verify no false affiliate attribution.</t>
  </si>
  <si>
    <t>Truvio</t>
  </si>
  <si>
    <t>Standard checkout</t>
  </si>
  <si>
    <t>Order has no affiliate commission basis.</t>
  </si>
  <si>
    <t>Create a valid affiliate order and then process a full return/cancellation.</t>
  </si>
  <si>
    <t>Returned affiliate order</t>
  </si>
  <si>
    <t>Order status and revenue reversal are recorded.</t>
  </si>
  <si>
    <t>Recalculate affiliate eligibility after the return.</t>
  </si>
  <si>
    <t>Returned transaction</t>
  </si>
  <si>
    <t>Commission amount is zero/reversed per policy.</t>
  </si>
  <si>
    <t>Confirm reporting retains the event and exclusion reason for audit.</t>
  </si>
  <si>
    <t>Commission adjustment</t>
  </si>
  <si>
    <t>Affiliate report shows excluded/reversed status, not deletion.</t>
  </si>
  <si>
    <t>Brick &amp; Mortar Retailers</t>
  </si>
  <si>
    <t>TC15-P01</t>
  </si>
  <si>
    <t>Retailer onboarding through EDI order, delivery and demand planning</t>
  </si>
  <si>
    <t>Retail strategy, retailer candidate, catalog, terms and stock exist.</t>
  </si>
  <si>
    <t>Define retail channel strategy, target segments, pricing and promotion approach.</t>
  </si>
  <si>
    <t>Retail business case</t>
  </si>
  <si>
    <t>Approved channel strategy is documented.</t>
  </si>
  <si>
    <t>Evaluate retailer, negotiate terms and execute contract.</t>
  </si>
  <si>
    <t>Retailer application</t>
  </si>
  <si>
    <t>Active contract with discounts and terms exists.</t>
  </si>
  <si>
    <t>Onboard account, share catalog/pricing and complete retailer training.</t>
  </si>
  <si>
    <t>Executed contract</t>
  </si>
  <si>
    <t>Retailer is enabled to transact.</t>
  </si>
  <si>
    <t>Execute co-marketing/MDF campaign and generate demand.</t>
  </si>
  <si>
    <t>Campaign plan</t>
  </si>
  <si>
    <t>Qualified retailer demand is tracked.</t>
  </si>
  <si>
    <t>Capture retailer/customer order through channel/EDI.</t>
  </si>
  <si>
    <t>Retailer / Customer Operations</t>
  </si>
  <si>
    <t>SPS Commerce</t>
  </si>
  <si>
    <t>Valid EDI order</t>
  </si>
  <si>
    <t>Order is acknowledged with correct retailer identifiers.</t>
  </si>
  <si>
    <t>Synchronize to Commerce HQ/F&amp;O; validate, confirm and release.</t>
  </si>
  <si>
    <t>SPS Commerce / D365 F&amp;O</t>
  </si>
  <si>
    <t>EDI sales order</t>
  </si>
  <si>
    <t>Order data and pricing reconcile.</t>
  </si>
  <si>
    <t>Fulfill through DHL and return shipment/status messages.</t>
  </si>
  <si>
    <t>Retailer receives delivery and EDI status confirmation.</t>
  </si>
  <si>
    <t>Invoice uses retailer terms and revenue posts.</t>
  </si>
  <si>
    <t>Capture sales/inventory signals and update forecast and weeks of coverage.</t>
  </si>
  <si>
    <t>SCM</t>
  </si>
  <si>
    <t>D365 F&amp;O / SPS Commerce</t>
  </si>
  <si>
    <t>Retail sales and inventory data</t>
  </si>
  <si>
    <t>Demand forecast and WoC reflect actual activity.</t>
  </si>
  <si>
    <t>TC15-N01</t>
  </si>
  <si>
    <t>Invalid EDI order is rejected and corrected cleanly</t>
  </si>
  <si>
    <t>EDI validation rules and a malformed order are available.</t>
  </si>
  <si>
    <t>Transmit an EDI order with invalid item, duplicate PO or missing required data.</t>
  </si>
  <si>
    <t>Retailer</t>
  </si>
  <si>
    <t>Malformed EDI order</t>
  </si>
  <si>
    <t>Validation rejects/holds the order with reason.</t>
  </si>
  <si>
    <t>Verify no confirmed F&amp;O sales order or fulfillment request is created.</t>
  </si>
  <si>
    <t>Rejected message ID</t>
  </si>
  <si>
    <t>Downstream processing is blocked.</t>
  </si>
  <si>
    <t>Send functional/business error acknowledgement to retailer.</t>
  </si>
  <si>
    <t>Validation errors</t>
  </si>
  <si>
    <t>Retailer receives actionable rejection detail.</t>
  </si>
  <si>
    <t>Correct and retransmit using the same business PO with proper version/control.</t>
  </si>
  <si>
    <t>Corrected EDI order</t>
  </si>
  <si>
    <t>One valid sales order is created.</t>
  </si>
  <si>
    <t>Complete fulfillment and reconcile EDI status, shipment and invoice.</t>
  </si>
  <si>
    <t>D365 F&amp;O / DHL / SPS Commerce</t>
  </si>
  <si>
    <t>Corrected order</t>
  </si>
  <si>
    <t>No duplicate order, shipment or invoice exists.</t>
  </si>
  <si>
    <t>Ecommerce (B2B &amp; B2C)</t>
  </si>
  <si>
    <t>TC16-P01</t>
  </si>
  <si>
    <t>B2B/B2C commerce channel order through reporting</t>
  </si>
  <si>
    <t>Channel partners, B2B/B2C catalogs, prices and inventory are configured.</t>
  </si>
  <si>
    <t>Define B2B/B2C channel strategy, operating model, objectives and growth plan.</t>
  </si>
  <si>
    <t>Approved eCommerce plan</t>
  </si>
  <si>
    <t>Channel scope and governance are approved.</t>
  </si>
  <si>
    <t>Recruit partners, negotiate terms and execute channel contracts.</t>
  </si>
  <si>
    <t>Partner candidates</t>
  </si>
  <si>
    <t>Active partner contracts and pricing exist.</t>
  </si>
  <si>
    <t>Onboard partners, publish catalogs/pricing/assets and enable selling.</t>
  </si>
  <si>
    <t>Catalog and accounts</t>
  </si>
  <si>
    <t>Approved assortments are available by customer type.</t>
  </si>
  <si>
    <t>Execute campaigns and generate channel demand.</t>
  </si>
  <si>
    <t>B2B/B2C campaigns</t>
  </si>
  <si>
    <t>Source and conversion data are captured.</t>
  </si>
  <si>
    <t>Place representative B2B and B2C orders with correct customer-specific rules.</t>
  </si>
  <si>
    <t>Truvio - B2C (ECom) / B2B Portal</t>
  </si>
  <si>
    <t>B2B account and B2C consumer</t>
  </si>
  <si>
    <t>Orders apply correct pricing, tax and identity rules.</t>
  </si>
  <si>
    <t>Synchronize to Commerce HQ/F&amp;O; validate and confirm each order.</t>
  </si>
  <si>
    <t>eCommerce orders</t>
  </si>
  <si>
    <t>Orders reconcile and are ready for fulfillment.</t>
  </si>
  <si>
    <t>Fulfill through SPS/DHL and synchronize status.</t>
  </si>
  <si>
    <t>Released orders</t>
  </si>
  <si>
    <t>Delivery status reaches customer-facing channels.</t>
  </si>
  <si>
    <t>Invoice and recognize revenue for both customer types.</t>
  </si>
  <si>
    <t>Delivered orders</t>
  </si>
  <si>
    <t>Correct financial postings occur for B2B and B2C.</t>
  </si>
  <si>
    <t>Update forecasting, WoC, customer voice and platform performance.</t>
  </si>
  <si>
    <t>Sales/inventory/review data</t>
  </si>
  <si>
    <t>Integrated reporting covers both channel segments.</t>
  </si>
  <si>
    <t>TC16-N01</t>
  </si>
  <si>
    <t>B2B pricing and B2C tax/address rules remain segregated</t>
  </si>
  <si>
    <t>B2B contract price and B2C consumer tax/address rules differ.</t>
  </si>
  <si>
    <t>Log in as B2B buyer and verify contract pricing and account terms.</t>
  </si>
  <si>
    <t>B2B Customer</t>
  </si>
  <si>
    <t>B2B Portal / D365 F&amp;O</t>
  </si>
  <si>
    <t>Contracted account</t>
  </si>
  <si>
    <t>B2B price and terms are applied.</t>
  </si>
  <si>
    <t>Attempt to use B2B-only price/discount in a guest B2C checkout.</t>
  </si>
  <si>
    <t>B2C Customer</t>
  </si>
  <si>
    <t>B2C guest cart</t>
  </si>
  <si>
    <t>Unauthorized B2B pricing is not exposed.</t>
  </si>
  <si>
    <t>Enter invalid B2C address and verify Vertex validation/tax control.</t>
  </si>
  <si>
    <t>Invalid address</t>
  </si>
  <si>
    <t>Checkout is blocked until address is corrected.</t>
  </si>
  <si>
    <t>Submit both valid orders and inspect downstream customer/account classification.</t>
  </si>
  <si>
    <t>Valid B2B and B2C orders</t>
  </si>
  <si>
    <t>Each order posts to the correct customer type and tax treatment.</t>
  </si>
  <si>
    <t>Confirm fulfillment/invoicing does not mix terms, prices or addresses.</t>
  </si>
  <si>
    <t>Two delivered orders</t>
  </si>
  <si>
    <t>Separate accurate invoices and shipments are produced.</t>
  </si>
  <si>
    <t>Procure to Pay</t>
  </si>
  <si>
    <t>TC17-P01</t>
  </si>
  <si>
    <t>Purchase requisition through three-way match and payment</t>
  </si>
  <si>
    <t>Vendor, item, tax, workflow, bank and matching tolerances are configured.</t>
  </si>
  <si>
    <t>Identify demand from MRP/min-max/manual need and create purchase requisition lines.</t>
  </si>
  <si>
    <t>Requester</t>
  </si>
  <si>
    <t>Item, quantity, site and need date</t>
  </si>
  <si>
    <t>Complete requisition is created.</t>
  </si>
  <si>
    <t>Submit requisition and obtain approval.</t>
  </si>
  <si>
    <t>Requester / Approver</t>
  </si>
  <si>
    <t>Purchase requisition</t>
  </si>
  <si>
    <t>Approved requisition retains workflow history.</t>
  </si>
  <si>
    <t>Run RFQ if required, select bid and create PO with charges and tax.</t>
  </si>
  <si>
    <t>Procurement</t>
  </si>
  <si>
    <t>Approved requisition and vendor bids</t>
  </si>
  <si>
    <t>Correct vendor and PO commercial terms are selected.</t>
  </si>
  <si>
    <t>Approve/confirm PO and send it to vendor via SPS/DHL integration.</t>
  </si>
  <si>
    <t>Approved PO</t>
  </si>
  <si>
    <t>Vendor receives one confirmed PO.</t>
  </si>
  <si>
    <t>Register arrival, validate ASN and post product receipt.</t>
  </si>
  <si>
    <t>DHL / SPS Commerce / D365 F&amp;O</t>
  </si>
  <si>
    <t>Vendor shipment and ASN</t>
  </si>
  <si>
    <t>Receipt matches PO and updates on-hand inventory.</t>
  </si>
  <si>
    <t>Register vendor invoice and perform two-way/three-way match.</t>
  </si>
  <si>
    <t>Accounts Payable</t>
  </si>
  <si>
    <t>Invoice, PO and receipt</t>
  </si>
  <si>
    <t>Invoice falls within tolerance and is approved.</t>
  </si>
  <si>
    <t>Post the vendor invoice.</t>
  </si>
  <si>
    <t>Approved matched invoice</t>
  </si>
  <si>
    <t>Vendor liability and expense/inventory entries post correctly.</t>
  </si>
  <si>
    <t>Create payment proposal, approve payment method and generate EFT/ISO 20022 payment.</t>
  </si>
  <si>
    <t>D365 F&amp;O / Bank</t>
  </si>
  <si>
    <t>Due approved invoice</t>
  </si>
  <si>
    <t>Approved payment file/journal is created.</t>
  </si>
  <si>
    <t>Settle transaction and verify P2P completion.</t>
  </si>
  <si>
    <t>Posted payment</t>
  </si>
  <si>
    <t>Vendor invoice is settled and audit trail is complete.</t>
  </si>
  <si>
    <t>TC17-N01</t>
  </si>
  <si>
    <t>Invoice mismatch or quality failure prevents payment</t>
  </si>
  <si>
    <t>PO, receipt and invoice can be created outside tolerance; quality hold is enabled.</t>
  </si>
  <si>
    <t>Receive goods that fail quality inspection or differ from PO quantity.</t>
  </si>
  <si>
    <t>Warehouse / Quality</t>
  </si>
  <si>
    <t>Nonconforming or short shipment</t>
  </si>
  <si>
    <t>Inventory is held/returned and discrepancy is recorded.</t>
  </si>
  <si>
    <t>Register vendor invoice with price/quantity outside matching tolerance.</t>
  </si>
  <si>
    <t>Mismatched invoice</t>
  </si>
  <si>
    <t>Invoice is placed on hold and cannot post.</t>
  </si>
  <si>
    <t>Verify payment proposal excludes the held invoice.</t>
  </si>
  <si>
    <t>Held invoice</t>
  </si>
  <si>
    <t>No payment is generated.</t>
  </si>
  <si>
    <t>Resolve through vendor return, corrected receipt/invoice or authorized exception.</t>
  </si>
  <si>
    <t>Procurement / AP / Quality</t>
  </si>
  <si>
    <t>Resolution evidence</t>
  </si>
  <si>
    <t>PO/receipt/invoice are corrected with audit trail.</t>
  </si>
  <si>
    <t>Re-run matching and post/pay only after approval and quality release.</t>
  </si>
  <si>
    <t>Accounts Payable / Finance</t>
  </si>
  <si>
    <t>Resolved transaction</t>
  </si>
  <si>
    <t>Invoice posts and settles once.</t>
  </si>
  <si>
    <t>New Product to Production</t>
  </si>
  <si>
    <t>TC18-P01</t>
  </si>
  <si>
    <t>Engineering change through Flex manufacture and DHL availability</t>
  </si>
  <si>
    <t>Approved product/change request, design inputs and governance roles exist.</t>
  </si>
  <si>
    <t>Initiate engineering change; update requirements, drawings, designs and BOM in PLM.</t>
  </si>
  <si>
    <t>Engineering / Product Management</t>
  </si>
  <si>
    <t>Approved change request</t>
  </si>
  <si>
    <t>Controlled product configuration and EC record are created.</t>
  </si>
  <si>
    <t>Release prototype, review manufacturing documents and assess production/cut-in impacts.</t>
  </si>
  <si>
    <t>Engineering / Manufacturing</t>
  </si>
  <si>
    <t>Prototype and manufacturing package</t>
  </si>
  <si>
    <t>Readiness gaps and impact assessment are documented.</t>
  </si>
  <si>
    <t>Approve manufacturing package, send to Flex and resolve CM feedback.</t>
  </si>
  <si>
    <t>Engineering / Contract Manufacturer</t>
  </si>
  <si>
    <t>PTC Arena/CAD Talk / Flex</t>
  </si>
  <si>
    <t>Drawings, BOM, work instructions and tests</t>
  </si>
  <si>
    <t>Flex accepts a controlled production package.</t>
  </si>
  <si>
    <t>Route EC for cross-functional approval, define effectivity/cut-in and close implementation.</t>
  </si>
  <si>
    <t>Product Release Board / Quality</t>
  </si>
  <si>
    <t>PTC Arena/CAD Talk / Veeva</t>
  </si>
  <si>
    <t>EC package and approvals</t>
  </si>
  <si>
    <t>Approved EC has controlled effectivity and audit trail.</t>
  </si>
  <si>
    <t>Synchronize released product master/BOM to D365 F&amp;O and maintain variants/cost/sourcing.</t>
  </si>
  <si>
    <t>Product Management / SCM</t>
  </si>
  <si>
    <t>PTC Arena/CAD Talk / D365 F&amp;O</t>
  </si>
  <si>
    <t>Released PLM data</t>
  </si>
  <si>
    <t>Production-ready product/BOM is accurate in F&amp;O.</t>
  </si>
  <si>
    <t>Assess inventory disposition, regulatory/compliance, supplier, costing and supply risk.</t>
  </si>
  <si>
    <t>SCM / Quality / Regulatory</t>
  </si>
  <si>
    <t>D365 F&amp;O / Veeva</t>
  </si>
  <si>
    <t>Old/new inventory and supplier data</t>
  </si>
  <si>
    <t>Approved cut-in and disposition strategy are recorded.</t>
  </si>
  <si>
    <t>Activate product, BOM and routing; update sourcing and process obsolete/restricted stock.</t>
  </si>
  <si>
    <t>Approved release/effectivity</t>
  </si>
  <si>
    <t>New version is production-active on the correct date.</t>
  </si>
  <si>
    <t>Forecast demand, run master planning, create procurement plan and confirm material/capacity.</t>
  </si>
  <si>
    <t>Demand Planning / Procurement</t>
  </si>
  <si>
    <t>Demand, inventory and capacity</t>
  </si>
  <si>
    <t>Manufacturing-ready supply plan is approved.</t>
  </si>
  <si>
    <t>Create PO/production orders and exchange data with Flex via SPS Commerce.</t>
  </si>
  <si>
    <t>Procurement / Manufacturing</t>
  </si>
  <si>
    <t>D365 F&amp;O / SPS Commerce / Flex</t>
  </si>
  <si>
    <t>Approved BOM and production demand</t>
  </si>
  <si>
    <t>Flex receives correct version, quantities and test requirements.</t>
  </si>
  <si>
    <t>Manufacture, test, package, report completion and release quality order.</t>
  </si>
  <si>
    <t>Contract Manufacturer / Quality</t>
  </si>
  <si>
    <t>Flex / Veeva</t>
  </si>
  <si>
    <t>Production order and test plan</t>
  </si>
  <si>
    <t>Conforming finished goods and traceability records exist.</t>
  </si>
  <si>
    <t>Create ASN and deliver finished goods to DHL; validate PO/item/qty/tracking and post receipt.</t>
  </si>
  <si>
    <t>Flex / Warehouse</t>
  </si>
  <si>
    <t>SPS Commerce / DHL / D365 F&amp;O</t>
  </si>
  <si>
    <t>ASN and finished goods</t>
  </si>
  <si>
    <t>On-hand, PO status and serial/lot data update correctly.</t>
  </si>
  <si>
    <t>Release available inventory and fulfill/distribute product.</t>
  </si>
  <si>
    <t>Quality-released inventory</t>
  </si>
  <si>
    <t>Product is available for sales/planning and shipment.</t>
  </si>
  <si>
    <t>TC18-N01</t>
  </si>
  <si>
    <t>Cut-in conflict or nonconforming stock is quarantined and reworked</t>
  </si>
  <si>
    <t>Old BOM has open PO quantity or received stock fails quality.</t>
  </si>
  <si>
    <t>Activate new BOM version with effective cut-in while an old-version PO has remaining quantity.</t>
  </si>
  <si>
    <t>SCM / Engineering</t>
  </si>
  <si>
    <t>D365 F&amp;O / PTC Arena</t>
  </si>
  <si>
    <t>Old PO and approved new BOM</t>
  </si>
  <si>
    <t>System identifies overlap and requires disposition decision.</t>
  </si>
  <si>
    <t>Review PO execution state and choose deliver remainder, cancel quantity or create new PO for new BOM.</t>
  </si>
  <si>
    <t>Procurement / SCM</t>
  </si>
  <si>
    <t>Open PO line</t>
  </si>
  <si>
    <t>Approved decision updates the correct PO/version without ambiguity.</t>
  </si>
  <si>
    <t>Receive a lot with GIDR/discrepancy or quality failure at DHL.</t>
  </si>
  <si>
    <t>Nonconforming ASN/lot</t>
  </si>
  <si>
    <t>Stock is segregated to quarantine/blocked and not saleable.</t>
  </si>
  <si>
    <t>Log GIDR, capture traceability and perform rework/relabel/repackage.</t>
  </si>
  <si>
    <t>DHL / Contract Manufacturer</t>
  </si>
  <si>
    <t>DHL SeLECT / Flex</t>
  </si>
  <si>
    <t>Held serial/lot</t>
  </si>
  <si>
    <t>Rework evidence and inventory status are controlled.</t>
  </si>
  <si>
    <t>Re-inspect against QC criteria and obtain QMS release approval.</t>
  </si>
  <si>
    <t>Quality</t>
  </si>
  <si>
    <t>Veeva / D365 F&amp;O</t>
  </si>
  <si>
    <t>Reworked stock and test results</t>
  </si>
  <si>
    <t>Only passing stock is approved for release.</t>
  </si>
  <si>
    <t>Send rework confirmation/inventory movement via SPS and update D365 status.</t>
  </si>
  <si>
    <t>Approved movement advice</t>
  </si>
  <si>
    <t>Batch/serial/expiry and audit trail reconcile.</t>
  </si>
  <si>
    <t>Verify failed stock remains quarantined or is scrapped and cannot be fulfilled.</t>
  </si>
  <si>
    <t>Failed stock</t>
  </si>
  <si>
    <t>Availability excludes nonconforming inventory.</t>
  </si>
  <si>
    <t>Heartstream Greenfield IT — E2E Test Coverage</t>
  </si>
  <si>
    <t>Execution-ready coverage across all 18 approved future-state business flows</t>
  </si>
  <si>
    <t>Coverage Metric</t>
  </si>
  <si>
    <t>Value</t>
  </si>
  <si>
    <t>Business processes</t>
  </si>
  <si>
    <t>Distinct test cases</t>
  </si>
  <si>
    <t>Detailed test steps</t>
  </si>
  <si>
    <t>Execution Metric</t>
  </si>
  <si>
    <t>Step Count</t>
  </si>
  <si>
    <t>Pass</t>
  </si>
  <si>
    <t>Fail / Blocked</t>
  </si>
  <si>
    <t>Design Basis</t>
  </si>
  <si>
    <t>Case model</t>
  </si>
  <si>
    <t>1 positive + 1 key exception/control case per process</t>
  </si>
  <si>
    <t>Ownership</t>
  </si>
  <si>
    <t>Swimlane role; ISV ownership aligned to ISV and Purpose</t>
  </si>
  <si>
    <t>Execution</t>
  </si>
  <si>
    <t>Update Actual Result, Status, Defect ID and Comments in the test register</t>
  </si>
  <si>
    <t>Positive Case</t>
  </si>
  <si>
    <t>Exception / Control Case</t>
  </si>
  <si>
    <t>Detailed Steps</t>
  </si>
  <si>
    <t>Critical Steps</t>
  </si>
  <si>
    <t>Primary Systems / ISVs</t>
  </si>
  <si>
    <t>Source Flow</t>
  </si>
  <si>
    <t>Coverage Focus</t>
  </si>
  <si>
    <t>D365 CE/F&amp;O; SPS Commerce; DHL</t>
  </si>
  <si>
    <t>01. B2B Direct Sales v1.1.pdf</t>
  </si>
  <si>
    <t>Lead-to-contract, order-to-cash, credit and installed base</t>
  </si>
  <si>
    <t>Zinfi; D365 CE/F&amp;O; SPS Commerce; DHL</t>
  </si>
  <si>
    <t>02. B2B Through Reseller v1.1.pdf</t>
  </si>
  <si>
    <t>Partner enablement, sale, fulfillment, rebate/MDF</t>
  </si>
  <si>
    <t>D365 Customer Service; Zinfi; Veeva</t>
  </si>
  <si>
    <t>03. B2B Direct Service &amp; Solution Delivery V1.1.pdf</t>
  </si>
  <si>
    <t>Contract, entitlement, case resolution, complaint routing</t>
  </si>
  <si>
    <t>D365 Customer Service; ASP; Veeva</t>
  </si>
  <si>
    <t>04. Service Support_V1.1.pdf</t>
  </si>
  <si>
    <t>Tier 3, root cause, field action and knowledge closure</t>
  </si>
  <si>
    <t>D365 Customer Service/F&amp;O; DHL; SPS; Veeva</t>
  </si>
  <si>
    <t>05. B2B Service Request (AED) v1.1.pdf</t>
  </si>
  <si>
    <t>Warranty, RMA, replacement, return and failure analysis</t>
  </si>
  <si>
    <t>D365 Customer Service/F&amp;O; DHL; ASP</t>
  </si>
  <si>
    <t>06. B2B Service Support (ALS).pdf</t>
  </si>
  <si>
    <t>Spare parts, installation, returns and chargeback</t>
  </si>
  <si>
    <t>Truvio; Vertex; Commerce HQ; F&amp;O; DHL</t>
  </si>
  <si>
    <t>07. B2C AED shop.pdf</t>
  </si>
  <si>
    <t>Web checkout, payment, tax/address, fulfillment</t>
  </si>
  <si>
    <t>Copernicus App; Truvio; Commerce HQ; F&amp;O; DHL</t>
  </si>
  <si>
    <t>08. B2C app purchase.pdf</t>
  </si>
  <si>
    <t>Consumable alert, one-click purchase and deferment</t>
  </si>
  <si>
    <t>Copernicus App; D365 CE/F&amp;O; Distribution System</t>
  </si>
  <si>
    <t>09. Software upgrade V1.1.pdf</t>
  </si>
  <si>
    <t>Eligibility, purchase, entitlement, package activation</t>
  </si>
  <si>
    <t>D365 CE; Commerce HQ; Payment Gateway</t>
  </si>
  <si>
    <t>10. Auto-renewal subscription V1.1.pdf</t>
  </si>
  <si>
    <t>Automated renewal, payment failure and service continuity</t>
  </si>
  <si>
    <t>D365 CE; Copernicus App; Truvio</t>
  </si>
  <si>
    <t>11. Subscription renewal (non-auto) V1.1.pdf</t>
  </si>
  <si>
    <t>Customer opt-in renewal and cancellation</t>
  </si>
  <si>
    <t>D365 CE/F&amp;O; Customer Portal</t>
  </si>
  <si>
    <t>12. Subscription via PO V1.1.pdf</t>
  </si>
  <si>
    <t>PO validation, entitlement extension and invoicing</t>
  </si>
  <si>
    <t>Zinfi; Social Platform; SPS; DHL; D365 F&amp;O</t>
  </si>
  <si>
    <t>13 - Social commerce.pdf</t>
  </si>
  <si>
    <t>Channel setup, social order, integration recovery, reporting</t>
  </si>
  <si>
    <t>Zinfi; Truvio; D365 F&amp;O; DHL</t>
  </si>
  <si>
    <t>14 - Affiliates Programs.pdf</t>
  </si>
  <si>
    <t>Affiliate attribution, sale and commission controls</t>
  </si>
  <si>
    <t>Zinfi; SPS Commerce; DHL; D365 F&amp;O</t>
  </si>
  <si>
    <t>15 - Brick &amp; Mortar Retailers.pdf</t>
  </si>
  <si>
    <t>Retail onboarding, EDI order and demand planning</t>
  </si>
  <si>
    <t>Truvio; Vertex; Commerce HQ; F&amp;O; SPS; DHL</t>
  </si>
  <si>
    <t>16. Ecommerce (B2B &amp; B2C).pdf</t>
  </si>
  <si>
    <t>B2B/B2C channel controls, fulfillment and reporting</t>
  </si>
  <si>
    <t>D365 F&amp;O; SPS Commerce; DHL</t>
  </si>
  <si>
    <t>17-Procure to Pay.pdf</t>
  </si>
  <si>
    <t>Requisition, PO, receipt, match, invoice and payment</t>
  </si>
  <si>
    <t>PTC Arena/CAD Talk; D365 F&amp;O; Flex; SPS; DHL; Veeva</t>
  </si>
  <si>
    <t>18. New product to production v1.1.pdf</t>
  </si>
  <si>
    <t>EC, release, cut-in, manufacture, quality and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</si>
</sst>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2"/>
      <color theme="1"/>
      <name val="Aptos Narrow"/>
      <family val="2"/>
      <scheme val="minor"/>
    </font>
    <font>
      <b/>
      <sz val="11"/>
      <color rgb="FF000000"/>
      <name val="Segoe UI"/>
      <family val="2"/>
    </font>
    <font>
      <b/>
      <sz val="10"/>
      <color rgb="FFFF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12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16324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3F6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6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7" borderId="0" xfId="0" applyFill="1"/>
    <xf numFmtId="0" fontId="9" fillId="7" borderId="0" xfId="0" applyFont="1" applyFill="1"/>
    <xf numFmtId="0" fontId="0" fillId="8" borderId="0" xfId="0" applyFill="1" applyAlignment="1">
      <alignment wrapText="1"/>
    </xf>
    <xf numFmtId="164" fontId="0" fillId="0" borderId="0" xfId="0" applyNumberFormat="1" applyAlignment="1">
      <alignment vertical="top"/>
    </xf>
    <xf numFmtId="0" fontId="8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5" borderId="0" xfId="0" applyFont="1" applyFill="1"/>
    <xf numFmtId="0" fontId="5" fillId="5" borderId="0" xfId="0" applyFont="1" applyFill="1"/>
    <xf numFmtId="0" fontId="7" fillId="5" borderId="0" xfId="0" applyFont="1" applyFill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35"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</font>
      <fill>
        <patternFill patternType="solid">
          <fgColor indexed="64"/>
          <bgColor rgb="FFF4CCCC"/>
        </patternFill>
      </fill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4" formatCode="00"/>
      <alignment vertical="top"/>
    </dxf>
    <dxf>
      <alignment vertical="top"/>
    </dxf>
    <dxf>
      <font>
        <b/>
        <color rgb="FFFFFFFF"/>
      </font>
      <fill>
        <patternFill patternType="solid">
          <fgColor indexed="64"/>
          <bgColor rgb="FF2F75B5"/>
        </patternFill>
      </fill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4" formatCode="00"/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4EB59-E4C4-774D-A4B7-6B37E70F049F}" name="TestCoverage" displayName="TestCoverage" ref="A10:I28" totalsRowShown="0" headerRowDxfId="34" dataDxfId="33">
  <autoFilter ref="A10:I28" xr:uid="{5F24EB59-E4C4-774D-A4B7-6B37E70F049F}"/>
  <tableColumns count="9">
    <tableColumn id="1" xr3:uid="{8A5F647F-2C03-E543-A8CB-E773690EBA3C}" name="Scenario ID" dataDxfId="32"/>
    <tableColumn id="2" xr3:uid="{A32599D2-9424-674B-895E-32D30B8BF5A1}" name="Business Process" dataDxfId="31"/>
    <tableColumn id="3" xr3:uid="{EF2BF15D-F29D-224D-B749-2FF8C24207DA}" name="Positive Case" dataDxfId="30"/>
    <tableColumn id="4" xr3:uid="{BC960BCF-C1A3-C644-9F76-095B184E12BF}" name="Exception / Control Case" dataDxfId="29"/>
    <tableColumn id="5" xr3:uid="{E4C971FB-9FBE-424A-9E9D-42F9223B010D}" name="Detailed Steps" dataDxfId="28">
      <calculatedColumnFormula>COUNTIF(E2ETestCases[Scenario ID],A11)</calculatedColumnFormula>
    </tableColumn>
    <tableColumn id="6" xr3:uid="{964FDC54-3DA0-7943-A281-D18ED548F92B}" name="Critical Steps" dataDxfId="27">
      <calculatedColumnFormula>COUNTIFS(E2ETestCases[Scenario ID],A11,E2ETestCases[Priority],"Critical")</calculatedColumnFormula>
    </tableColumn>
    <tableColumn id="7" xr3:uid="{1D5A7BBF-B28D-7C49-999E-99C8A1538630}" name="Primary Systems / ISVs" dataDxfId="26"/>
    <tableColumn id="8" xr3:uid="{1E92126A-5BD8-6645-9BE2-90FB84BE67FB}" name="Source Flow" dataDxfId="25"/>
    <tableColumn id="9" xr3:uid="{BBCC498D-6FEE-3E46-AE3C-9628E514E588}" name="Coverage Focu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54FC8-547A-EC46-871F-0E2A4445A801}" name="E2ETestCases" displayName="E2ETestCases" ref="A4:Q263" totalsRowShown="0" headerRowDxfId="23" dataDxfId="22">
  <autoFilter ref="A4:Q263" xr:uid="{6C054FC8-547A-EC46-871F-0E2A4445A801}"/>
  <tableColumns count="17">
    <tableColumn id="1" xr3:uid="{EA6F5FC2-0639-3F47-8949-2D3A3FB43757}" name="Scenario ID" dataDxfId="21"/>
    <tableColumn id="2" xr3:uid="{61FA0490-3F41-8E4F-A560-FD1A101181C7}" name="Business Process" dataDxfId="20"/>
    <tableColumn id="3" xr3:uid="{162E4C5D-2594-6042-9964-8B3569764DE9}" name="Test Case ID" dataDxfId="19"/>
    <tableColumn id="4" xr3:uid="{747765AF-F694-3E49-B37D-4A1360B3BDC9}" name="Test Case Title" dataDxfId="18"/>
    <tableColumn id="5" xr3:uid="{761E0075-260E-F940-80CB-677C5943C717}" name="Test Type" dataDxfId="17"/>
    <tableColumn id="6" xr3:uid="{C0943B15-DD33-814B-B3B0-2237E279AB05}" name="Priority" dataDxfId="16"/>
    <tableColumn id="7" xr3:uid="{89A6EE06-7152-0645-BDB5-F1A8F91A9B32}" name="Preconditions" dataDxfId="15"/>
    <tableColumn id="8" xr3:uid="{488E725F-89DB-654C-A8D2-9BEBD3DF3D22}" name="Step #" dataDxfId="14"/>
    <tableColumn id="9" xr3:uid="{4FDBE684-9EEB-7E45-A87E-512C81FD67E1}" name="Detailed Test Step" dataDxfId="13"/>
    <tableColumn id="10" xr3:uid="{9D8228AC-357F-8C43-894A-81081447B89B}" name="Step Owner" dataDxfId="12"/>
    <tableColumn id="11" xr3:uid="{52DBFF88-2EA9-894E-885F-7C3E4047A0AA}" name="Application / ISV" dataDxfId="11"/>
    <tableColumn id="12" xr3:uid="{F89CC48A-C7E0-904C-B8A5-B40B229484B9}" name="Test Data / Input" dataDxfId="10"/>
    <tableColumn id="13" xr3:uid="{7F82F48A-9632-2A4D-BE13-4642BFB04135}" name="Expected Result" dataDxfId="9"/>
    <tableColumn id="14" xr3:uid="{7B3546A1-9E39-0E4C-B974-961B943285FB}" name="Actual Result" dataDxfId="8"/>
    <tableColumn id="15" xr3:uid="{E497F469-6AEF-E945-98CC-20CB51976C8C}" name="Status" dataDxfId="7"/>
    <tableColumn id="16" xr3:uid="{507DA2C3-22F2-5F49-B055-5E4E9E8B681F}" name="Defect ID" dataDxfId="6"/>
    <tableColumn id="17" xr3:uid="{71A20C69-2BCF-8347-858A-9C1BCAD8F88B}" name="Comment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E62D-61A4-1B44-83C9-D1D7C3CCE9ED}">
  <dimension ref="A1:I28"/>
  <sheetViews>
    <sheetView tabSelected="1" topLeftCell="B1" workbookViewId="0">
      <pane ySplit="10" topLeftCell="A11" activePane="bottomLeft" state="frozen"/>
      <selection pane="bottomLeft" activeCell="E16" sqref="E16"/>
    </sheetView>
  </sheetViews>
  <sheetFormatPr defaultColWidth="10.6640625" defaultRowHeight="16" x14ac:dyDescent="0.4"/>
  <cols>
    <col min="1" max="1" width="10.83203125" customWidth="1"/>
    <col min="2" max="2" width="31.6640625" customWidth="1"/>
    <col min="3" max="4" width="15.33203125" customWidth="1"/>
    <col min="5" max="6" width="13" customWidth="1"/>
    <col min="7" max="7" width="35" customWidth="1"/>
    <col min="8" max="8" width="36.6640625" customWidth="1"/>
    <col min="9" max="9" width="38.33203125" customWidth="1"/>
  </cols>
  <sheetData>
    <row r="1" spans="1:9" ht="23.5" x14ac:dyDescent="0.55000000000000004">
      <c r="A1" s="17" t="s">
        <v>1106</v>
      </c>
      <c r="B1" s="18"/>
      <c r="C1" s="18"/>
      <c r="D1" s="18"/>
      <c r="E1" s="18"/>
      <c r="F1" s="18"/>
      <c r="G1" s="18"/>
      <c r="H1" s="18"/>
      <c r="I1" s="18"/>
    </row>
    <row r="2" spans="1:9" x14ac:dyDescent="0.4">
      <c r="A2" s="18" t="s">
        <v>1107</v>
      </c>
      <c r="B2" s="18"/>
      <c r="C2" s="18"/>
      <c r="D2" s="18"/>
      <c r="E2" s="18"/>
      <c r="F2" s="18"/>
      <c r="G2" s="18"/>
      <c r="H2" s="18"/>
      <c r="I2" s="18"/>
    </row>
    <row r="4" spans="1:9" x14ac:dyDescent="0.4">
      <c r="A4" s="8" t="s">
        <v>1108</v>
      </c>
      <c r="B4" s="8" t="s">
        <v>1109</v>
      </c>
      <c r="D4" s="8" t="s">
        <v>1113</v>
      </c>
      <c r="E4" s="8" t="s">
        <v>1114</v>
      </c>
      <c r="G4" s="15" t="s">
        <v>1117</v>
      </c>
      <c r="H4" s="15"/>
      <c r="I4" s="15"/>
    </row>
    <row r="5" spans="1:9" ht="32.5" x14ac:dyDescent="0.45">
      <c r="A5" s="11" t="s">
        <v>1110</v>
      </c>
      <c r="B5" s="12">
        <f>COUNTA(A11:A28)</f>
        <v>18</v>
      </c>
      <c r="D5" s="11" t="s">
        <v>51</v>
      </c>
      <c r="E5" s="12">
        <f>COUNTIF(E2ETestCases[Status],"Not Run")</f>
        <v>259</v>
      </c>
      <c r="G5" s="13" t="s">
        <v>1118</v>
      </c>
      <c r="H5" s="13" t="s">
        <v>1119</v>
      </c>
      <c r="I5" s="13"/>
    </row>
    <row r="6" spans="1:9" ht="32.5" x14ac:dyDescent="0.45">
      <c r="A6" s="11" t="s">
        <v>1111</v>
      </c>
      <c r="B6" s="12">
        <f>COUNTA(_xlfn.UNIQUE(E2ETestCases[Test Case ID]))</f>
        <v>36</v>
      </c>
      <c r="D6" s="11" t="s">
        <v>1115</v>
      </c>
      <c r="E6" s="12">
        <f>COUNTIF(E2ETestCases[Status],"Pass")</f>
        <v>0</v>
      </c>
      <c r="G6" s="13" t="s">
        <v>1120</v>
      </c>
      <c r="H6" s="13" t="s">
        <v>1121</v>
      </c>
      <c r="I6" s="13"/>
    </row>
    <row r="7" spans="1:9" ht="32.5" x14ac:dyDescent="0.45">
      <c r="A7" s="11" t="s">
        <v>1112</v>
      </c>
      <c r="B7" s="12">
        <f>ROWS(E2ETestCases[Test Case ID])</f>
        <v>259</v>
      </c>
      <c r="D7" s="11" t="s">
        <v>1116</v>
      </c>
      <c r="E7" s="12">
        <f>COUNTIF(E2ETestCases[Status],"Fail")+COUNTIF(E2ETestCases[Status],"Blocked")</f>
        <v>0</v>
      </c>
      <c r="G7" s="13" t="s">
        <v>1122</v>
      </c>
      <c r="H7" s="13" t="s">
        <v>1123</v>
      </c>
      <c r="I7" s="13"/>
    </row>
    <row r="8" spans="1:9" x14ac:dyDescent="0.4">
      <c r="G8" s="16"/>
      <c r="H8" s="16"/>
      <c r="I8" s="16"/>
    </row>
    <row r="9" spans="1:9" x14ac:dyDescent="0.4">
      <c r="G9" s="16"/>
      <c r="H9" s="16"/>
      <c r="I9" s="16"/>
    </row>
    <row r="10" spans="1:9" x14ac:dyDescent="0.4">
      <c r="A10" s="9" t="s">
        <v>23</v>
      </c>
      <c r="B10" s="9" t="s">
        <v>24</v>
      </c>
      <c r="C10" s="9" t="s">
        <v>1124</v>
      </c>
      <c r="D10" s="9" t="s">
        <v>1125</v>
      </c>
      <c r="E10" s="9" t="s">
        <v>1126</v>
      </c>
      <c r="F10" s="9" t="s">
        <v>1127</v>
      </c>
      <c r="G10" s="10" t="s">
        <v>1128</v>
      </c>
      <c r="H10" s="10" t="s">
        <v>1129</v>
      </c>
      <c r="I10" s="10" t="s">
        <v>1130</v>
      </c>
    </row>
    <row r="11" spans="1:9" ht="32" x14ac:dyDescent="0.4">
      <c r="A11" s="14">
        <v>1</v>
      </c>
      <c r="B11" s="9" t="s">
        <v>40</v>
      </c>
      <c r="C11" s="9" t="s">
        <v>41</v>
      </c>
      <c r="D11" s="9" t="s">
        <v>98</v>
      </c>
      <c r="E11" s="9">
        <f>COUNTIF(E2ETestCases[Scenario ID],A11)</f>
        <v>17</v>
      </c>
      <c r="F11" s="9">
        <f>COUNTIFS(E2ETestCases[Scenario ID],A11,E2ETestCases[Priority],"Critical")</f>
        <v>11</v>
      </c>
      <c r="G11" s="10" t="s">
        <v>1131</v>
      </c>
      <c r="H11" s="10" t="s">
        <v>1132</v>
      </c>
      <c r="I11" s="10" t="s">
        <v>1133</v>
      </c>
    </row>
    <row r="12" spans="1:9" ht="32" x14ac:dyDescent="0.4">
      <c r="A12" s="14">
        <v>2</v>
      </c>
      <c r="B12" s="9" t="s">
        <v>124</v>
      </c>
      <c r="C12" s="9" t="s">
        <v>125</v>
      </c>
      <c r="D12" s="9" t="s">
        <v>173</v>
      </c>
      <c r="E12" s="9">
        <f>COUNTIF(E2ETestCases[Scenario ID],A12)</f>
        <v>16</v>
      </c>
      <c r="F12" s="9">
        <f>COUNTIFS(E2ETestCases[Scenario ID],A12,E2ETestCases[Priority],"Critical")</f>
        <v>11</v>
      </c>
      <c r="G12" s="10" t="s">
        <v>1134</v>
      </c>
      <c r="H12" s="10" t="s">
        <v>1135</v>
      </c>
      <c r="I12" s="10" t="s">
        <v>1136</v>
      </c>
    </row>
    <row r="13" spans="1:9" ht="32" x14ac:dyDescent="0.4">
      <c r="A13" s="14">
        <v>3</v>
      </c>
      <c r="B13" s="9" t="s">
        <v>194</v>
      </c>
      <c r="C13" s="9" t="s">
        <v>195</v>
      </c>
      <c r="D13" s="9" t="s">
        <v>233</v>
      </c>
      <c r="E13" s="9">
        <f>COUNTIF(E2ETestCases[Scenario ID],A13)</f>
        <v>14</v>
      </c>
      <c r="F13" s="9">
        <f>COUNTIFS(E2ETestCases[Scenario ID],A13,E2ETestCases[Priority],"Critical")</f>
        <v>14</v>
      </c>
      <c r="G13" s="10" t="s">
        <v>1137</v>
      </c>
      <c r="H13" s="10" t="s">
        <v>1138</v>
      </c>
      <c r="I13" s="10" t="s">
        <v>1139</v>
      </c>
    </row>
    <row r="14" spans="1:9" ht="32" x14ac:dyDescent="0.4">
      <c r="A14" s="14">
        <v>4</v>
      </c>
      <c r="B14" s="9" t="s">
        <v>257</v>
      </c>
      <c r="C14" s="9" t="s">
        <v>258</v>
      </c>
      <c r="D14" s="9" t="s">
        <v>293</v>
      </c>
      <c r="E14" s="9">
        <f>COUNTIF(E2ETestCases[Scenario ID],A14)</f>
        <v>14</v>
      </c>
      <c r="F14" s="9">
        <f>COUNTIFS(E2ETestCases[Scenario ID],A14,E2ETestCases[Priority],"Critical")</f>
        <v>9</v>
      </c>
      <c r="G14" s="10" t="s">
        <v>1140</v>
      </c>
      <c r="H14" s="10" t="s">
        <v>1141</v>
      </c>
      <c r="I14" s="10" t="s">
        <v>1142</v>
      </c>
    </row>
    <row r="15" spans="1:9" ht="32" x14ac:dyDescent="0.4">
      <c r="A15" s="14">
        <v>5</v>
      </c>
      <c r="B15" s="9" t="s">
        <v>313</v>
      </c>
      <c r="C15" s="9" t="s">
        <v>314</v>
      </c>
      <c r="D15" s="9" t="s">
        <v>354</v>
      </c>
      <c r="E15" s="9">
        <f>COUNTIF(E2ETestCases[Scenario ID],A15)</f>
        <v>15</v>
      </c>
      <c r="F15" s="9">
        <f>COUNTIFS(E2ETestCases[Scenario ID],A15,E2ETestCases[Priority],"Critical")</f>
        <v>10</v>
      </c>
      <c r="G15" s="10" t="s">
        <v>1143</v>
      </c>
      <c r="H15" s="10" t="s">
        <v>1144</v>
      </c>
      <c r="I15" s="10" t="s">
        <v>1145</v>
      </c>
    </row>
    <row r="16" spans="1:9" ht="32" x14ac:dyDescent="0.4">
      <c r="A16" s="14">
        <v>6</v>
      </c>
      <c r="B16" s="9" t="s">
        <v>376</v>
      </c>
      <c r="C16" s="9" t="s">
        <v>377</v>
      </c>
      <c r="D16" s="9" t="s">
        <v>409</v>
      </c>
      <c r="E16" s="9">
        <f>COUNTIF(E2ETestCases[Scenario ID],A16)</f>
        <v>13</v>
      </c>
      <c r="F16" s="9">
        <f>COUNTIFS(E2ETestCases[Scenario ID],A16,E2ETestCases[Priority],"Critical")</f>
        <v>0</v>
      </c>
      <c r="G16" s="10" t="s">
        <v>1146</v>
      </c>
      <c r="H16" s="10" t="s">
        <v>1147</v>
      </c>
      <c r="I16" s="10" t="s">
        <v>1148</v>
      </c>
    </row>
    <row r="17" spans="1:9" ht="32" x14ac:dyDescent="0.4">
      <c r="A17" s="14">
        <v>7</v>
      </c>
      <c r="B17" s="9" t="s">
        <v>428</v>
      </c>
      <c r="C17" s="9" t="s">
        <v>429</v>
      </c>
      <c r="D17" s="9" t="s">
        <v>463</v>
      </c>
      <c r="E17" s="9">
        <f>COUNTIF(E2ETestCases[Scenario ID],A17)</f>
        <v>13</v>
      </c>
      <c r="F17" s="9">
        <f>COUNTIFS(E2ETestCases[Scenario ID],A17,E2ETestCases[Priority],"Critical")</f>
        <v>13</v>
      </c>
      <c r="G17" s="10" t="s">
        <v>1149</v>
      </c>
      <c r="H17" s="10" t="s">
        <v>1150</v>
      </c>
      <c r="I17" s="10" t="s">
        <v>1151</v>
      </c>
    </row>
    <row r="18" spans="1:9" ht="32" x14ac:dyDescent="0.4">
      <c r="A18" s="14">
        <v>8</v>
      </c>
      <c r="B18" s="9" t="s">
        <v>480</v>
      </c>
      <c r="C18" s="9" t="s">
        <v>481</v>
      </c>
      <c r="D18" s="9" t="s">
        <v>508</v>
      </c>
      <c r="E18" s="9">
        <f>COUNTIF(E2ETestCases[Scenario ID],A18)</f>
        <v>13</v>
      </c>
      <c r="F18" s="9">
        <f>COUNTIFS(E2ETestCases[Scenario ID],A18,E2ETestCases[Priority],"Critical")</f>
        <v>0</v>
      </c>
      <c r="G18" s="10" t="s">
        <v>1152</v>
      </c>
      <c r="H18" s="10" t="s">
        <v>1153</v>
      </c>
      <c r="I18" s="10" t="s">
        <v>1154</v>
      </c>
    </row>
    <row r="19" spans="1:9" ht="32" x14ac:dyDescent="0.4">
      <c r="A19" s="14">
        <v>9</v>
      </c>
      <c r="B19" s="9" t="s">
        <v>530</v>
      </c>
      <c r="C19" s="9" t="s">
        <v>531</v>
      </c>
      <c r="D19" s="9" t="s">
        <v>573</v>
      </c>
      <c r="E19" s="9">
        <f>COUNTIF(E2ETestCases[Scenario ID],A19)</f>
        <v>15</v>
      </c>
      <c r="F19" s="9">
        <f>COUNTIFS(E2ETestCases[Scenario ID],A19,E2ETestCases[Priority],"Critical")</f>
        <v>15</v>
      </c>
      <c r="G19" s="10" t="s">
        <v>1155</v>
      </c>
      <c r="H19" s="10" t="s">
        <v>1156</v>
      </c>
      <c r="I19" s="10" t="s">
        <v>1157</v>
      </c>
    </row>
    <row r="20" spans="1:9" ht="32" x14ac:dyDescent="0.4">
      <c r="A20" s="14">
        <v>10</v>
      </c>
      <c r="B20" s="9" t="s">
        <v>595</v>
      </c>
      <c r="C20" s="9" t="s">
        <v>596</v>
      </c>
      <c r="D20" s="9" t="s">
        <v>630</v>
      </c>
      <c r="E20" s="9">
        <f>COUNTIF(E2ETestCases[Scenario ID],A20)</f>
        <v>14</v>
      </c>
      <c r="F20" s="9">
        <f>COUNTIFS(E2ETestCases[Scenario ID],A20,E2ETestCases[Priority],"Critical")</f>
        <v>14</v>
      </c>
      <c r="G20" s="10" t="s">
        <v>1158</v>
      </c>
      <c r="H20" s="10" t="s">
        <v>1159</v>
      </c>
      <c r="I20" s="10" t="s">
        <v>1160</v>
      </c>
    </row>
    <row r="21" spans="1:9" x14ac:dyDescent="0.4">
      <c r="A21" s="14">
        <v>11</v>
      </c>
      <c r="B21" s="9" t="s">
        <v>653</v>
      </c>
      <c r="C21" s="9" t="s">
        <v>654</v>
      </c>
      <c r="D21" s="9" t="s">
        <v>677</v>
      </c>
      <c r="E21" s="9">
        <f>COUNTIF(E2ETestCases[Scenario ID],A21)</f>
        <v>12</v>
      </c>
      <c r="F21" s="9">
        <f>COUNTIFS(E2ETestCases[Scenario ID],A21,E2ETestCases[Priority],"Critical")</f>
        <v>7</v>
      </c>
      <c r="G21" s="10" t="s">
        <v>1161</v>
      </c>
      <c r="H21" s="10" t="s">
        <v>1162</v>
      </c>
      <c r="I21" s="10" t="s">
        <v>1163</v>
      </c>
    </row>
    <row r="22" spans="1:9" ht="32" x14ac:dyDescent="0.4">
      <c r="A22" s="14">
        <v>12</v>
      </c>
      <c r="B22" s="9" t="s">
        <v>695</v>
      </c>
      <c r="C22" s="9" t="s">
        <v>696</v>
      </c>
      <c r="D22" s="9" t="s">
        <v>726</v>
      </c>
      <c r="E22" s="9">
        <f>COUNTIF(E2ETestCases[Scenario ID],A22)</f>
        <v>14</v>
      </c>
      <c r="F22" s="9">
        <f>COUNTIFS(E2ETestCases[Scenario ID],A22,E2ETestCases[Priority],"Critical")</f>
        <v>14</v>
      </c>
      <c r="G22" s="10" t="s">
        <v>1164</v>
      </c>
      <c r="H22" s="10" t="s">
        <v>1165</v>
      </c>
      <c r="I22" s="10" t="s">
        <v>1166</v>
      </c>
    </row>
    <row r="23" spans="1:9" ht="32" x14ac:dyDescent="0.4">
      <c r="A23" s="14">
        <v>13</v>
      </c>
      <c r="B23" s="9" t="s">
        <v>744</v>
      </c>
      <c r="C23" s="9" t="s">
        <v>745</v>
      </c>
      <c r="D23" s="9" t="s">
        <v>780</v>
      </c>
      <c r="E23" s="9">
        <f>COUNTIF(E2ETestCases[Scenario ID],A23)</f>
        <v>14</v>
      </c>
      <c r="F23" s="9">
        <f>COUNTIFS(E2ETestCases[Scenario ID],A23,E2ETestCases[Priority],"Critical")</f>
        <v>5</v>
      </c>
      <c r="G23" s="10" t="s">
        <v>1167</v>
      </c>
      <c r="H23" s="10" t="s">
        <v>1168</v>
      </c>
      <c r="I23" s="10" t="s">
        <v>1169</v>
      </c>
    </row>
    <row r="24" spans="1:9" ht="32" x14ac:dyDescent="0.4">
      <c r="A24" s="14">
        <v>14</v>
      </c>
      <c r="B24" s="9" t="s">
        <v>801</v>
      </c>
      <c r="C24" s="9" t="s">
        <v>802</v>
      </c>
      <c r="D24" s="9" t="s">
        <v>834</v>
      </c>
      <c r="E24" s="9">
        <f>COUNTIF(E2ETestCases[Scenario ID],A24)</f>
        <v>14</v>
      </c>
      <c r="F24" s="9">
        <f>COUNTIFS(E2ETestCases[Scenario ID],A24,E2ETestCases[Priority],"Critical")</f>
        <v>0</v>
      </c>
      <c r="G24" s="10" t="s">
        <v>1170</v>
      </c>
      <c r="H24" s="10" t="s">
        <v>1171</v>
      </c>
      <c r="I24" s="10" t="s">
        <v>1172</v>
      </c>
    </row>
    <row r="25" spans="1:9" ht="32" x14ac:dyDescent="0.4">
      <c r="A25" s="14">
        <v>15</v>
      </c>
      <c r="B25" s="9" t="s">
        <v>854</v>
      </c>
      <c r="C25" s="9" t="s">
        <v>855</v>
      </c>
      <c r="D25" s="9" t="s">
        <v>887</v>
      </c>
      <c r="E25" s="9">
        <f>COUNTIF(E2ETestCases[Scenario ID],A25)</f>
        <v>14</v>
      </c>
      <c r="F25" s="9">
        <f>COUNTIFS(E2ETestCases[Scenario ID],A25,E2ETestCases[Priority],"Critical")</f>
        <v>5</v>
      </c>
      <c r="G25" s="10" t="s">
        <v>1173</v>
      </c>
      <c r="H25" s="10" t="s">
        <v>1174</v>
      </c>
      <c r="I25" s="10" t="s">
        <v>1175</v>
      </c>
    </row>
    <row r="26" spans="1:9" ht="32" x14ac:dyDescent="0.4">
      <c r="A26" s="14">
        <v>16</v>
      </c>
      <c r="B26" s="9" t="s">
        <v>907</v>
      </c>
      <c r="C26" s="9" t="s">
        <v>908</v>
      </c>
      <c r="D26" s="9" t="s">
        <v>939</v>
      </c>
      <c r="E26" s="9">
        <f>COUNTIF(E2ETestCases[Scenario ID],A26)</f>
        <v>14</v>
      </c>
      <c r="F26" s="9">
        <f>COUNTIFS(E2ETestCases[Scenario ID],A26,E2ETestCases[Priority],"Critical")</f>
        <v>14</v>
      </c>
      <c r="G26" s="10" t="s">
        <v>1176</v>
      </c>
      <c r="H26" s="10" t="s">
        <v>1177</v>
      </c>
      <c r="I26" s="10" t="s">
        <v>1178</v>
      </c>
    </row>
    <row r="27" spans="1:9" ht="32" x14ac:dyDescent="0.4">
      <c r="A27" s="14">
        <v>17</v>
      </c>
      <c r="B27" s="9" t="s">
        <v>960</v>
      </c>
      <c r="C27" s="9" t="s">
        <v>961</v>
      </c>
      <c r="D27" s="9" t="s">
        <v>997</v>
      </c>
      <c r="E27" s="9">
        <f>COUNTIF(E2ETestCases[Scenario ID],A27)</f>
        <v>14</v>
      </c>
      <c r="F27" s="9">
        <f>COUNTIFS(E2ETestCases[Scenario ID],A27,E2ETestCases[Priority],"Critical")</f>
        <v>14</v>
      </c>
      <c r="G27" s="10" t="s">
        <v>1179</v>
      </c>
      <c r="H27" s="10" t="s">
        <v>1180</v>
      </c>
      <c r="I27" s="10" t="s">
        <v>1181</v>
      </c>
    </row>
    <row r="28" spans="1:9" ht="32" x14ac:dyDescent="0.4">
      <c r="A28" s="14">
        <v>18</v>
      </c>
      <c r="B28" s="9" t="s">
        <v>1018</v>
      </c>
      <c r="C28" s="9" t="s">
        <v>1019</v>
      </c>
      <c r="D28" s="9" t="s">
        <v>1075</v>
      </c>
      <c r="E28" s="9">
        <f>COUNTIF(E2ETestCases[Scenario ID],A28)</f>
        <v>19</v>
      </c>
      <c r="F28" s="9">
        <f>COUNTIFS(E2ETestCases[Scenario ID],A28,E2ETestCases[Priority],"Critical")</f>
        <v>19</v>
      </c>
      <c r="G28" s="10" t="s">
        <v>1182</v>
      </c>
      <c r="H28" s="10" t="s">
        <v>1183</v>
      </c>
      <c r="I28" s="10" t="s">
        <v>1184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6169-3207-7A4B-9A1F-0DD20964356D}">
  <dimension ref="A1:Q26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10.6640625" defaultRowHeight="16" x14ac:dyDescent="0.4"/>
  <cols>
    <col min="1" max="1" width="10.33203125" customWidth="1"/>
    <col min="2" max="2" width="25" customWidth="1"/>
    <col min="3" max="3" width="13" customWidth="1"/>
    <col min="4" max="4" width="31.6640625" customWidth="1"/>
    <col min="5" max="6" width="13.6640625" customWidth="1"/>
    <col min="7" max="7" width="36.6640625" customWidth="1"/>
    <col min="8" max="8" width="8" customWidth="1"/>
    <col min="9" max="9" width="43.33203125" customWidth="1"/>
    <col min="10" max="10" width="21.6640625" customWidth="1"/>
    <col min="11" max="11" width="28.33203125" customWidth="1"/>
    <col min="12" max="12" width="25" customWidth="1"/>
    <col min="13" max="13" width="38.33203125" customWidth="1"/>
    <col min="14" max="14" width="30" customWidth="1"/>
    <col min="15" max="16" width="13.6640625" customWidth="1"/>
    <col min="17" max="17" width="25" customWidth="1"/>
  </cols>
  <sheetData>
    <row r="1" spans="1:17" ht="23.5" x14ac:dyDescent="0.55000000000000004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4">
      <c r="A2" s="19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4" spans="1:17" x14ac:dyDescent="0.4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M4" s="8" t="s">
        <v>35</v>
      </c>
      <c r="N4" s="8" t="s">
        <v>36</v>
      </c>
      <c r="O4" s="8" t="s">
        <v>37</v>
      </c>
      <c r="P4" s="8" t="s">
        <v>38</v>
      </c>
      <c r="Q4" s="8" t="s">
        <v>39</v>
      </c>
    </row>
    <row r="5" spans="1:17" ht="32" x14ac:dyDescent="0.4">
      <c r="A5" s="14">
        <v>1</v>
      </c>
      <c r="B5" s="9" t="s">
        <v>40</v>
      </c>
      <c r="C5" s="9" t="s">
        <v>41</v>
      </c>
      <c r="D5" s="9" t="s">
        <v>42</v>
      </c>
      <c r="E5" s="9" t="s">
        <v>43</v>
      </c>
      <c r="F5" s="9" t="s">
        <v>44</v>
      </c>
      <c r="G5" s="10" t="s">
        <v>45</v>
      </c>
      <c r="H5" s="10">
        <v>1</v>
      </c>
      <c r="I5" s="10" t="s">
        <v>46</v>
      </c>
      <c r="J5" s="10" t="s">
        <v>47</v>
      </c>
      <c r="K5" s="10" t="s">
        <v>48</v>
      </c>
      <c r="L5" s="10" t="s">
        <v>49</v>
      </c>
      <c r="M5" s="10" t="s">
        <v>50</v>
      </c>
      <c r="N5" s="9"/>
      <c r="O5" s="9" t="s">
        <v>51</v>
      </c>
      <c r="P5" s="9"/>
      <c r="Q5" s="10"/>
    </row>
    <row r="6" spans="1:17" ht="32" x14ac:dyDescent="0.4">
      <c r="A6" s="14">
        <v>1</v>
      </c>
      <c r="B6" s="9" t="s">
        <v>40</v>
      </c>
      <c r="C6" s="9" t="s">
        <v>41</v>
      </c>
      <c r="D6" s="9" t="s">
        <v>42</v>
      </c>
      <c r="E6" s="9" t="s">
        <v>43</v>
      </c>
      <c r="F6" s="9" t="s">
        <v>44</v>
      </c>
      <c r="G6" s="10" t="s">
        <v>45</v>
      </c>
      <c r="H6" s="10">
        <v>2</v>
      </c>
      <c r="I6" s="10" t="s">
        <v>52</v>
      </c>
      <c r="J6" s="10" t="s">
        <v>53</v>
      </c>
      <c r="K6" s="10" t="s">
        <v>54</v>
      </c>
      <c r="L6" s="10" t="s">
        <v>55</v>
      </c>
      <c r="M6" s="10" t="s">
        <v>56</v>
      </c>
      <c r="N6" s="9"/>
      <c r="O6" s="9" t="s">
        <v>51</v>
      </c>
      <c r="P6" s="9"/>
      <c r="Q6" s="10"/>
    </row>
    <row r="7" spans="1:17" ht="32" x14ac:dyDescent="0.4">
      <c r="A7" s="14">
        <v>1</v>
      </c>
      <c r="B7" s="9" t="s">
        <v>40</v>
      </c>
      <c r="C7" s="9" t="s">
        <v>41</v>
      </c>
      <c r="D7" s="9" t="s">
        <v>42</v>
      </c>
      <c r="E7" s="9" t="s">
        <v>43</v>
      </c>
      <c r="F7" s="9" t="s">
        <v>44</v>
      </c>
      <c r="G7" s="10" t="s">
        <v>45</v>
      </c>
      <c r="H7" s="10">
        <v>3</v>
      </c>
      <c r="I7" s="10" t="s">
        <v>57</v>
      </c>
      <c r="J7" s="10" t="s">
        <v>58</v>
      </c>
      <c r="K7" s="10" t="s">
        <v>59</v>
      </c>
      <c r="L7" s="10" t="s">
        <v>60</v>
      </c>
      <c r="M7" s="10" t="s">
        <v>61</v>
      </c>
      <c r="N7" s="9"/>
      <c r="O7" s="9" t="s">
        <v>51</v>
      </c>
      <c r="P7" s="9"/>
      <c r="Q7" s="10"/>
    </row>
    <row r="8" spans="1:17" ht="48" x14ac:dyDescent="0.4">
      <c r="A8" s="14">
        <v>1</v>
      </c>
      <c r="B8" s="9" t="s">
        <v>40</v>
      </c>
      <c r="C8" s="9" t="s">
        <v>41</v>
      </c>
      <c r="D8" s="9" t="s">
        <v>42</v>
      </c>
      <c r="E8" s="9" t="s">
        <v>43</v>
      </c>
      <c r="F8" s="9" t="s">
        <v>44</v>
      </c>
      <c r="G8" s="10" t="s">
        <v>45</v>
      </c>
      <c r="H8" s="10">
        <v>4</v>
      </c>
      <c r="I8" s="10" t="s">
        <v>62</v>
      </c>
      <c r="J8" s="10" t="s">
        <v>63</v>
      </c>
      <c r="K8" s="10" t="s">
        <v>59</v>
      </c>
      <c r="L8" s="10" t="s">
        <v>64</v>
      </c>
      <c r="M8" s="10" t="s">
        <v>65</v>
      </c>
      <c r="N8" s="9"/>
      <c r="O8" s="9" t="s">
        <v>51</v>
      </c>
      <c r="P8" s="9"/>
      <c r="Q8" s="10"/>
    </row>
    <row r="9" spans="1:17" ht="32" x14ac:dyDescent="0.4">
      <c r="A9" s="14">
        <v>1</v>
      </c>
      <c r="B9" s="9" t="s">
        <v>40</v>
      </c>
      <c r="C9" s="9" t="s">
        <v>41</v>
      </c>
      <c r="D9" s="9" t="s">
        <v>42</v>
      </c>
      <c r="E9" s="9" t="s">
        <v>43</v>
      </c>
      <c r="F9" s="9" t="s">
        <v>44</v>
      </c>
      <c r="G9" s="10" t="s">
        <v>45</v>
      </c>
      <c r="H9" s="10">
        <v>5</v>
      </c>
      <c r="I9" s="10" t="s">
        <v>66</v>
      </c>
      <c r="J9" s="10" t="s">
        <v>67</v>
      </c>
      <c r="K9" s="10" t="s">
        <v>59</v>
      </c>
      <c r="L9" s="10" t="s">
        <v>68</v>
      </c>
      <c r="M9" s="10" t="s">
        <v>69</v>
      </c>
      <c r="N9" s="9"/>
      <c r="O9" s="9" t="s">
        <v>51</v>
      </c>
      <c r="P9" s="9"/>
      <c r="Q9" s="10"/>
    </row>
    <row r="10" spans="1:17" ht="48" x14ac:dyDescent="0.4">
      <c r="A10" s="14">
        <v>1</v>
      </c>
      <c r="B10" s="9" t="s">
        <v>40</v>
      </c>
      <c r="C10" s="9" t="s">
        <v>41</v>
      </c>
      <c r="D10" s="9" t="s">
        <v>42</v>
      </c>
      <c r="E10" s="9" t="s">
        <v>43</v>
      </c>
      <c r="F10" s="9" t="s">
        <v>44</v>
      </c>
      <c r="G10" s="10" t="s">
        <v>45</v>
      </c>
      <c r="H10" s="10">
        <v>6</v>
      </c>
      <c r="I10" s="10" t="s">
        <v>70</v>
      </c>
      <c r="J10" s="10" t="s">
        <v>47</v>
      </c>
      <c r="K10" s="10" t="s">
        <v>71</v>
      </c>
      <c r="L10" s="10" t="s">
        <v>72</v>
      </c>
      <c r="M10" s="10" t="s">
        <v>73</v>
      </c>
      <c r="N10" s="9"/>
      <c r="O10" s="9" t="s">
        <v>51</v>
      </c>
      <c r="P10" s="9"/>
      <c r="Q10" s="10"/>
    </row>
    <row r="11" spans="1:17" ht="32" x14ac:dyDescent="0.4">
      <c r="A11" s="14">
        <v>1</v>
      </c>
      <c r="B11" s="9" t="s">
        <v>40</v>
      </c>
      <c r="C11" s="9" t="s">
        <v>41</v>
      </c>
      <c r="D11" s="9" t="s">
        <v>42</v>
      </c>
      <c r="E11" s="9" t="s">
        <v>43</v>
      </c>
      <c r="F11" s="9" t="s">
        <v>44</v>
      </c>
      <c r="G11" s="10" t="s">
        <v>45</v>
      </c>
      <c r="H11" s="10">
        <v>7</v>
      </c>
      <c r="I11" s="10" t="s">
        <v>74</v>
      </c>
      <c r="J11" s="10" t="s">
        <v>75</v>
      </c>
      <c r="K11" s="10" t="s">
        <v>76</v>
      </c>
      <c r="L11" s="10" t="s">
        <v>77</v>
      </c>
      <c r="M11" s="10" t="s">
        <v>78</v>
      </c>
      <c r="N11" s="9"/>
      <c r="O11" s="9" t="s">
        <v>51</v>
      </c>
      <c r="P11" s="9"/>
      <c r="Q11" s="10"/>
    </row>
    <row r="12" spans="1:17" ht="32" x14ac:dyDescent="0.4">
      <c r="A12" s="14">
        <v>1</v>
      </c>
      <c r="B12" s="9" t="s">
        <v>40</v>
      </c>
      <c r="C12" s="9" t="s">
        <v>41</v>
      </c>
      <c r="D12" s="9" t="s">
        <v>42</v>
      </c>
      <c r="E12" s="9" t="s">
        <v>43</v>
      </c>
      <c r="F12" s="9" t="s">
        <v>44</v>
      </c>
      <c r="G12" s="10" t="s">
        <v>45</v>
      </c>
      <c r="H12" s="10">
        <v>8</v>
      </c>
      <c r="I12" s="10" t="s">
        <v>79</v>
      </c>
      <c r="J12" s="10" t="s">
        <v>4</v>
      </c>
      <c r="K12" s="10" t="s">
        <v>80</v>
      </c>
      <c r="L12" s="10" t="s">
        <v>81</v>
      </c>
      <c r="M12" s="10" t="s">
        <v>82</v>
      </c>
      <c r="N12" s="9"/>
      <c r="O12" s="9" t="s">
        <v>51</v>
      </c>
      <c r="P12" s="9"/>
      <c r="Q12" s="10"/>
    </row>
    <row r="13" spans="1:17" ht="32" x14ac:dyDescent="0.4">
      <c r="A13" s="14">
        <v>1</v>
      </c>
      <c r="B13" s="9" t="s">
        <v>40</v>
      </c>
      <c r="C13" s="9" t="s">
        <v>41</v>
      </c>
      <c r="D13" s="9" t="s">
        <v>42</v>
      </c>
      <c r="E13" s="9" t="s">
        <v>43</v>
      </c>
      <c r="F13" s="9" t="s">
        <v>44</v>
      </c>
      <c r="G13" s="10" t="s">
        <v>45</v>
      </c>
      <c r="H13" s="10">
        <v>9</v>
      </c>
      <c r="I13" s="10" t="s">
        <v>83</v>
      </c>
      <c r="J13" s="10" t="s">
        <v>84</v>
      </c>
      <c r="K13" s="10" t="s">
        <v>85</v>
      </c>
      <c r="L13" s="10" t="s">
        <v>86</v>
      </c>
      <c r="M13" s="10" t="s">
        <v>87</v>
      </c>
      <c r="N13" s="9"/>
      <c r="O13" s="9" t="s">
        <v>51</v>
      </c>
      <c r="P13" s="9"/>
      <c r="Q13" s="10"/>
    </row>
    <row r="14" spans="1:17" ht="32" x14ac:dyDescent="0.4">
      <c r="A14" s="14">
        <v>1</v>
      </c>
      <c r="B14" s="9" t="s">
        <v>40</v>
      </c>
      <c r="C14" s="9" t="s">
        <v>41</v>
      </c>
      <c r="D14" s="9" t="s">
        <v>42</v>
      </c>
      <c r="E14" s="9" t="s">
        <v>43</v>
      </c>
      <c r="F14" s="9" t="s">
        <v>44</v>
      </c>
      <c r="G14" s="10" t="s">
        <v>45</v>
      </c>
      <c r="H14" s="10">
        <v>10</v>
      </c>
      <c r="I14" s="10" t="s">
        <v>88</v>
      </c>
      <c r="J14" s="10" t="s">
        <v>89</v>
      </c>
      <c r="K14" s="10" t="s">
        <v>90</v>
      </c>
      <c r="L14" s="10" t="s">
        <v>91</v>
      </c>
      <c r="M14" s="10" t="s">
        <v>92</v>
      </c>
      <c r="N14" s="9"/>
      <c r="O14" s="9" t="s">
        <v>51</v>
      </c>
      <c r="P14" s="9"/>
      <c r="Q14" s="10"/>
    </row>
    <row r="15" spans="1:17" ht="32" x14ac:dyDescent="0.4">
      <c r="A15" s="14">
        <v>1</v>
      </c>
      <c r="B15" s="9" t="s">
        <v>40</v>
      </c>
      <c r="C15" s="9" t="s">
        <v>41</v>
      </c>
      <c r="D15" s="9" t="s">
        <v>42</v>
      </c>
      <c r="E15" s="9" t="s">
        <v>43</v>
      </c>
      <c r="F15" s="9" t="s">
        <v>44</v>
      </c>
      <c r="G15" s="10" t="s">
        <v>45</v>
      </c>
      <c r="H15" s="10">
        <v>11</v>
      </c>
      <c r="I15" s="10" t="s">
        <v>93</v>
      </c>
      <c r="J15" s="10" t="s">
        <v>94</v>
      </c>
      <c r="K15" s="10" t="s">
        <v>95</v>
      </c>
      <c r="L15" s="10" t="s">
        <v>96</v>
      </c>
      <c r="M15" s="10" t="s">
        <v>97</v>
      </c>
      <c r="N15" s="9"/>
      <c r="O15" s="9" t="s">
        <v>51</v>
      </c>
      <c r="P15" s="9"/>
      <c r="Q15" s="10"/>
    </row>
    <row r="16" spans="1:17" ht="32" x14ac:dyDescent="0.4">
      <c r="A16" s="14">
        <v>1</v>
      </c>
      <c r="B16" s="9" t="s">
        <v>40</v>
      </c>
      <c r="C16" s="9" t="s">
        <v>98</v>
      </c>
      <c r="D16" s="9" t="s">
        <v>99</v>
      </c>
      <c r="E16" s="9" t="s">
        <v>100</v>
      </c>
      <c r="F16" s="9" t="s">
        <v>101</v>
      </c>
      <c r="G16" s="10" t="s">
        <v>102</v>
      </c>
      <c r="H16" s="10">
        <v>1</v>
      </c>
      <c r="I16" s="10" t="s">
        <v>103</v>
      </c>
      <c r="J16" s="10" t="s">
        <v>63</v>
      </c>
      <c r="K16" s="10" t="s">
        <v>59</v>
      </c>
      <c r="L16" s="10" t="s">
        <v>104</v>
      </c>
      <c r="M16" s="10" t="s">
        <v>105</v>
      </c>
      <c r="N16" s="9"/>
      <c r="O16" s="9" t="s">
        <v>51</v>
      </c>
      <c r="P16" s="9"/>
      <c r="Q16" s="10"/>
    </row>
    <row r="17" spans="1:17" ht="32" x14ac:dyDescent="0.4">
      <c r="A17" s="14">
        <v>1</v>
      </c>
      <c r="B17" s="9" t="s">
        <v>40</v>
      </c>
      <c r="C17" s="9" t="s">
        <v>98</v>
      </c>
      <c r="D17" s="9" t="s">
        <v>99</v>
      </c>
      <c r="E17" s="9" t="s">
        <v>100</v>
      </c>
      <c r="F17" s="9" t="s">
        <v>101</v>
      </c>
      <c r="G17" s="10" t="s">
        <v>102</v>
      </c>
      <c r="H17" s="10">
        <v>2</v>
      </c>
      <c r="I17" s="10" t="s">
        <v>106</v>
      </c>
      <c r="J17" s="10" t="s">
        <v>107</v>
      </c>
      <c r="K17" s="10" t="s">
        <v>59</v>
      </c>
      <c r="L17" s="10" t="s">
        <v>108</v>
      </c>
      <c r="M17" s="10" t="s">
        <v>109</v>
      </c>
      <c r="N17" s="9"/>
      <c r="O17" s="9" t="s">
        <v>51</v>
      </c>
      <c r="P17" s="9"/>
      <c r="Q17" s="10"/>
    </row>
    <row r="18" spans="1:17" ht="32" x14ac:dyDescent="0.4">
      <c r="A18" s="14">
        <v>1</v>
      </c>
      <c r="B18" s="9" t="s">
        <v>40</v>
      </c>
      <c r="C18" s="9" t="s">
        <v>98</v>
      </c>
      <c r="D18" s="9" t="s">
        <v>99</v>
      </c>
      <c r="E18" s="9" t="s">
        <v>100</v>
      </c>
      <c r="F18" s="9" t="s">
        <v>101</v>
      </c>
      <c r="G18" s="10" t="s">
        <v>102</v>
      </c>
      <c r="H18" s="10">
        <v>3</v>
      </c>
      <c r="I18" s="10" t="s">
        <v>110</v>
      </c>
      <c r="J18" s="10" t="s">
        <v>63</v>
      </c>
      <c r="K18" s="10" t="s">
        <v>59</v>
      </c>
      <c r="L18" s="10" t="s">
        <v>111</v>
      </c>
      <c r="M18" s="10" t="s">
        <v>112</v>
      </c>
      <c r="N18" s="9"/>
      <c r="O18" s="9" t="s">
        <v>51</v>
      </c>
      <c r="P18" s="9"/>
      <c r="Q18" s="10"/>
    </row>
    <row r="19" spans="1:17" ht="32" x14ac:dyDescent="0.4">
      <c r="A19" s="14">
        <v>1</v>
      </c>
      <c r="B19" s="9" t="s">
        <v>40</v>
      </c>
      <c r="C19" s="9" t="s">
        <v>98</v>
      </c>
      <c r="D19" s="9" t="s">
        <v>99</v>
      </c>
      <c r="E19" s="9" t="s">
        <v>100</v>
      </c>
      <c r="F19" s="9" t="s">
        <v>101</v>
      </c>
      <c r="G19" s="10" t="s">
        <v>102</v>
      </c>
      <c r="H19" s="10">
        <v>4</v>
      </c>
      <c r="I19" s="10" t="s">
        <v>113</v>
      </c>
      <c r="J19" s="10" t="s">
        <v>114</v>
      </c>
      <c r="K19" s="10" t="s">
        <v>90</v>
      </c>
      <c r="L19" s="10" t="s">
        <v>115</v>
      </c>
      <c r="M19" s="10" t="s">
        <v>116</v>
      </c>
      <c r="N19" s="9"/>
      <c r="O19" s="9" t="s">
        <v>51</v>
      </c>
      <c r="P19" s="9"/>
      <c r="Q19" s="10"/>
    </row>
    <row r="20" spans="1:17" ht="32" x14ac:dyDescent="0.4">
      <c r="A20" s="14">
        <v>1</v>
      </c>
      <c r="B20" s="9" t="s">
        <v>40</v>
      </c>
      <c r="C20" s="9" t="s">
        <v>98</v>
      </c>
      <c r="D20" s="9" t="s">
        <v>99</v>
      </c>
      <c r="E20" s="9" t="s">
        <v>100</v>
      </c>
      <c r="F20" s="9" t="s">
        <v>101</v>
      </c>
      <c r="G20" s="10" t="s">
        <v>102</v>
      </c>
      <c r="H20" s="10">
        <v>5</v>
      </c>
      <c r="I20" s="10" t="s">
        <v>117</v>
      </c>
      <c r="J20" s="10" t="s">
        <v>118</v>
      </c>
      <c r="K20" s="10" t="s">
        <v>90</v>
      </c>
      <c r="L20" s="10" t="s">
        <v>119</v>
      </c>
      <c r="M20" s="10" t="s">
        <v>120</v>
      </c>
      <c r="N20" s="9"/>
      <c r="O20" s="9" t="s">
        <v>51</v>
      </c>
      <c r="P20" s="9"/>
      <c r="Q20" s="10"/>
    </row>
    <row r="21" spans="1:17" ht="32" x14ac:dyDescent="0.4">
      <c r="A21" s="14">
        <v>1</v>
      </c>
      <c r="B21" s="9" t="s">
        <v>40</v>
      </c>
      <c r="C21" s="9" t="s">
        <v>98</v>
      </c>
      <c r="D21" s="9" t="s">
        <v>99</v>
      </c>
      <c r="E21" s="9" t="s">
        <v>100</v>
      </c>
      <c r="F21" s="9" t="s">
        <v>101</v>
      </c>
      <c r="G21" s="10" t="s">
        <v>102</v>
      </c>
      <c r="H21" s="10">
        <v>6</v>
      </c>
      <c r="I21" s="10" t="s">
        <v>121</v>
      </c>
      <c r="J21" s="10" t="s">
        <v>75</v>
      </c>
      <c r="K21" s="10" t="s">
        <v>90</v>
      </c>
      <c r="L21" s="10" t="s">
        <v>122</v>
      </c>
      <c r="M21" s="10" t="s">
        <v>123</v>
      </c>
      <c r="N21" s="9"/>
      <c r="O21" s="9" t="s">
        <v>51</v>
      </c>
      <c r="P21" s="9"/>
      <c r="Q21" s="10"/>
    </row>
    <row r="22" spans="1:17" ht="32" x14ac:dyDescent="0.4">
      <c r="A22" s="14">
        <v>2</v>
      </c>
      <c r="B22" s="9" t="s">
        <v>124</v>
      </c>
      <c r="C22" s="9" t="s">
        <v>125</v>
      </c>
      <c r="D22" s="9" t="s">
        <v>126</v>
      </c>
      <c r="E22" s="9" t="s">
        <v>43</v>
      </c>
      <c r="F22" s="9" t="s">
        <v>44</v>
      </c>
      <c r="G22" s="10" t="s">
        <v>127</v>
      </c>
      <c r="H22" s="10">
        <v>1</v>
      </c>
      <c r="I22" s="10" t="s">
        <v>128</v>
      </c>
      <c r="J22" s="10" t="s">
        <v>129</v>
      </c>
      <c r="K22" s="10" t="s">
        <v>7</v>
      </c>
      <c r="L22" s="10" t="s">
        <v>130</v>
      </c>
      <c r="M22" s="10" t="s">
        <v>131</v>
      </c>
      <c r="N22" s="9"/>
      <c r="O22" s="9" t="s">
        <v>51</v>
      </c>
      <c r="P22" s="9"/>
      <c r="Q22" s="10"/>
    </row>
    <row r="23" spans="1:17" ht="32" x14ac:dyDescent="0.4">
      <c r="A23" s="14">
        <v>2</v>
      </c>
      <c r="B23" s="9" t="s">
        <v>124</v>
      </c>
      <c r="C23" s="9" t="s">
        <v>125</v>
      </c>
      <c r="D23" s="9" t="s">
        <v>126</v>
      </c>
      <c r="E23" s="9" t="s">
        <v>43</v>
      </c>
      <c r="F23" s="9" t="s">
        <v>44</v>
      </c>
      <c r="G23" s="10" t="s">
        <v>127</v>
      </c>
      <c r="H23" s="10">
        <v>2</v>
      </c>
      <c r="I23" s="10" t="s">
        <v>132</v>
      </c>
      <c r="J23" s="10" t="s">
        <v>129</v>
      </c>
      <c r="K23" s="10" t="s">
        <v>7</v>
      </c>
      <c r="L23" s="10" t="s">
        <v>133</v>
      </c>
      <c r="M23" s="10" t="s">
        <v>134</v>
      </c>
      <c r="N23" s="9"/>
      <c r="O23" s="9" t="s">
        <v>51</v>
      </c>
      <c r="P23" s="9"/>
      <c r="Q23" s="10"/>
    </row>
    <row r="24" spans="1:17" ht="32" x14ac:dyDescent="0.4">
      <c r="A24" s="14">
        <v>2</v>
      </c>
      <c r="B24" s="9" t="s">
        <v>124</v>
      </c>
      <c r="C24" s="9" t="s">
        <v>125</v>
      </c>
      <c r="D24" s="9" t="s">
        <v>126</v>
      </c>
      <c r="E24" s="9" t="s">
        <v>43</v>
      </c>
      <c r="F24" s="9" t="s">
        <v>44</v>
      </c>
      <c r="G24" s="10" t="s">
        <v>127</v>
      </c>
      <c r="H24" s="10">
        <v>3</v>
      </c>
      <c r="I24" s="10" t="s">
        <v>135</v>
      </c>
      <c r="J24" s="10" t="s">
        <v>136</v>
      </c>
      <c r="K24" s="10" t="s">
        <v>137</v>
      </c>
      <c r="L24" s="10" t="s">
        <v>138</v>
      </c>
      <c r="M24" s="10" t="s">
        <v>139</v>
      </c>
      <c r="N24" s="9"/>
      <c r="O24" s="9" t="s">
        <v>51</v>
      </c>
      <c r="P24" s="9"/>
      <c r="Q24" s="10"/>
    </row>
    <row r="25" spans="1:17" ht="32" x14ac:dyDescent="0.4">
      <c r="A25" s="14">
        <v>2</v>
      </c>
      <c r="B25" s="9" t="s">
        <v>124</v>
      </c>
      <c r="C25" s="9" t="s">
        <v>125</v>
      </c>
      <c r="D25" s="9" t="s">
        <v>126</v>
      </c>
      <c r="E25" s="9" t="s">
        <v>43</v>
      </c>
      <c r="F25" s="9" t="s">
        <v>44</v>
      </c>
      <c r="G25" s="10" t="s">
        <v>127</v>
      </c>
      <c r="H25" s="10">
        <v>4</v>
      </c>
      <c r="I25" s="10" t="s">
        <v>140</v>
      </c>
      <c r="J25" s="10" t="s">
        <v>129</v>
      </c>
      <c r="K25" s="10" t="s">
        <v>7</v>
      </c>
      <c r="L25" s="10" t="s">
        <v>141</v>
      </c>
      <c r="M25" s="10" t="s">
        <v>142</v>
      </c>
      <c r="N25" s="9"/>
      <c r="O25" s="9" t="s">
        <v>51</v>
      </c>
      <c r="P25" s="9"/>
      <c r="Q25" s="10"/>
    </row>
    <row r="26" spans="1:17" ht="32" x14ac:dyDescent="0.4">
      <c r="A26" s="14">
        <v>2</v>
      </c>
      <c r="B26" s="9" t="s">
        <v>124</v>
      </c>
      <c r="C26" s="9" t="s">
        <v>125</v>
      </c>
      <c r="D26" s="9" t="s">
        <v>126</v>
      </c>
      <c r="E26" s="9" t="s">
        <v>43</v>
      </c>
      <c r="F26" s="9" t="s">
        <v>44</v>
      </c>
      <c r="G26" s="10" t="s">
        <v>127</v>
      </c>
      <c r="H26" s="10">
        <v>5</v>
      </c>
      <c r="I26" s="10" t="s">
        <v>143</v>
      </c>
      <c r="J26" s="10" t="s">
        <v>136</v>
      </c>
      <c r="K26" s="10" t="s">
        <v>144</v>
      </c>
      <c r="L26" s="10" t="s">
        <v>145</v>
      </c>
      <c r="M26" s="10" t="s">
        <v>146</v>
      </c>
      <c r="N26" s="9"/>
      <c r="O26" s="9" t="s">
        <v>51</v>
      </c>
      <c r="P26" s="9"/>
      <c r="Q26" s="10"/>
    </row>
    <row r="27" spans="1:17" ht="32" x14ac:dyDescent="0.4">
      <c r="A27" s="14">
        <v>2</v>
      </c>
      <c r="B27" s="9" t="s">
        <v>124</v>
      </c>
      <c r="C27" s="9" t="s">
        <v>125</v>
      </c>
      <c r="D27" s="9" t="s">
        <v>126</v>
      </c>
      <c r="E27" s="9" t="s">
        <v>43</v>
      </c>
      <c r="F27" s="9" t="s">
        <v>44</v>
      </c>
      <c r="G27" s="10" t="s">
        <v>127</v>
      </c>
      <c r="H27" s="10">
        <v>6</v>
      </c>
      <c r="I27" s="10" t="s">
        <v>147</v>
      </c>
      <c r="J27" s="10" t="s">
        <v>148</v>
      </c>
      <c r="K27" s="10" t="s">
        <v>149</v>
      </c>
      <c r="L27" s="10" t="s">
        <v>150</v>
      </c>
      <c r="M27" s="10" t="s">
        <v>151</v>
      </c>
      <c r="N27" s="9"/>
      <c r="O27" s="9" t="s">
        <v>51</v>
      </c>
      <c r="P27" s="9"/>
      <c r="Q27" s="10"/>
    </row>
    <row r="28" spans="1:17" ht="32" x14ac:dyDescent="0.4">
      <c r="A28" s="14">
        <v>2</v>
      </c>
      <c r="B28" s="9" t="s">
        <v>124</v>
      </c>
      <c r="C28" s="9" t="s">
        <v>125</v>
      </c>
      <c r="D28" s="9" t="s">
        <v>126</v>
      </c>
      <c r="E28" s="9" t="s">
        <v>43</v>
      </c>
      <c r="F28" s="9" t="s">
        <v>44</v>
      </c>
      <c r="G28" s="10" t="s">
        <v>127</v>
      </c>
      <c r="H28" s="10">
        <v>7</v>
      </c>
      <c r="I28" s="10" t="s">
        <v>152</v>
      </c>
      <c r="J28" s="10" t="s">
        <v>63</v>
      </c>
      <c r="K28" s="10" t="s">
        <v>59</v>
      </c>
      <c r="L28" s="10" t="s">
        <v>153</v>
      </c>
      <c r="M28" s="10" t="s">
        <v>154</v>
      </c>
      <c r="N28" s="9"/>
      <c r="O28" s="9" t="s">
        <v>51</v>
      </c>
      <c r="P28" s="9"/>
      <c r="Q28" s="10"/>
    </row>
    <row r="29" spans="1:17" ht="32" x14ac:dyDescent="0.4">
      <c r="A29" s="14">
        <v>2</v>
      </c>
      <c r="B29" s="9" t="s">
        <v>124</v>
      </c>
      <c r="C29" s="9" t="s">
        <v>125</v>
      </c>
      <c r="D29" s="9" t="s">
        <v>126</v>
      </c>
      <c r="E29" s="9" t="s">
        <v>43</v>
      </c>
      <c r="F29" s="9" t="s">
        <v>44</v>
      </c>
      <c r="G29" s="10" t="s">
        <v>127</v>
      </c>
      <c r="H29" s="10">
        <v>8</v>
      </c>
      <c r="I29" s="10" t="s">
        <v>155</v>
      </c>
      <c r="J29" s="10" t="s">
        <v>156</v>
      </c>
      <c r="K29" s="10" t="s">
        <v>157</v>
      </c>
      <c r="L29" s="10" t="s">
        <v>158</v>
      </c>
      <c r="M29" s="10" t="s">
        <v>159</v>
      </c>
      <c r="N29" s="9"/>
      <c r="O29" s="9" t="s">
        <v>51</v>
      </c>
      <c r="P29" s="9"/>
      <c r="Q29" s="10"/>
    </row>
    <row r="30" spans="1:17" ht="32" x14ac:dyDescent="0.4">
      <c r="A30" s="14">
        <v>2</v>
      </c>
      <c r="B30" s="9" t="s">
        <v>124</v>
      </c>
      <c r="C30" s="9" t="s">
        <v>125</v>
      </c>
      <c r="D30" s="9" t="s">
        <v>126</v>
      </c>
      <c r="E30" s="9" t="s">
        <v>43</v>
      </c>
      <c r="F30" s="9" t="s">
        <v>44</v>
      </c>
      <c r="G30" s="10" t="s">
        <v>127</v>
      </c>
      <c r="H30" s="10">
        <v>9</v>
      </c>
      <c r="I30" s="10" t="s">
        <v>160</v>
      </c>
      <c r="J30" s="10" t="s">
        <v>161</v>
      </c>
      <c r="K30" s="10" t="s">
        <v>162</v>
      </c>
      <c r="L30" s="10" t="s">
        <v>163</v>
      </c>
      <c r="M30" s="10" t="s">
        <v>164</v>
      </c>
      <c r="N30" s="9"/>
      <c r="O30" s="9" t="s">
        <v>51</v>
      </c>
      <c r="P30" s="9"/>
      <c r="Q30" s="10"/>
    </row>
    <row r="31" spans="1:17" ht="32" x14ac:dyDescent="0.4">
      <c r="A31" s="14">
        <v>2</v>
      </c>
      <c r="B31" s="9" t="s">
        <v>124</v>
      </c>
      <c r="C31" s="9" t="s">
        <v>125</v>
      </c>
      <c r="D31" s="9" t="s">
        <v>126</v>
      </c>
      <c r="E31" s="9" t="s">
        <v>43</v>
      </c>
      <c r="F31" s="9" t="s">
        <v>44</v>
      </c>
      <c r="G31" s="10" t="s">
        <v>127</v>
      </c>
      <c r="H31" s="10">
        <v>10</v>
      </c>
      <c r="I31" s="10" t="s">
        <v>165</v>
      </c>
      <c r="J31" s="10" t="s">
        <v>89</v>
      </c>
      <c r="K31" s="10" t="s">
        <v>90</v>
      </c>
      <c r="L31" s="10" t="s">
        <v>166</v>
      </c>
      <c r="M31" s="10" t="s">
        <v>167</v>
      </c>
      <c r="N31" s="9"/>
      <c r="O31" s="9" t="s">
        <v>51</v>
      </c>
      <c r="P31" s="9"/>
      <c r="Q31" s="10"/>
    </row>
    <row r="32" spans="1:17" ht="32" x14ac:dyDescent="0.4">
      <c r="A32" s="14">
        <v>2</v>
      </c>
      <c r="B32" s="9" t="s">
        <v>124</v>
      </c>
      <c r="C32" s="9" t="s">
        <v>125</v>
      </c>
      <c r="D32" s="9" t="s">
        <v>126</v>
      </c>
      <c r="E32" s="9" t="s">
        <v>43</v>
      </c>
      <c r="F32" s="9" t="s">
        <v>44</v>
      </c>
      <c r="G32" s="10" t="s">
        <v>127</v>
      </c>
      <c r="H32" s="10">
        <v>11</v>
      </c>
      <c r="I32" s="10" t="s">
        <v>168</v>
      </c>
      <c r="J32" s="10" t="s">
        <v>169</v>
      </c>
      <c r="K32" s="10" t="s">
        <v>170</v>
      </c>
      <c r="L32" s="10" t="s">
        <v>171</v>
      </c>
      <c r="M32" s="10" t="s">
        <v>172</v>
      </c>
      <c r="N32" s="9"/>
      <c r="O32" s="9" t="s">
        <v>51</v>
      </c>
      <c r="P32" s="9"/>
      <c r="Q32" s="10"/>
    </row>
    <row r="33" spans="1:17" ht="32" x14ac:dyDescent="0.4">
      <c r="A33" s="14">
        <v>2</v>
      </c>
      <c r="B33" s="9" t="s">
        <v>124</v>
      </c>
      <c r="C33" s="9" t="s">
        <v>173</v>
      </c>
      <c r="D33" s="9" t="s">
        <v>174</v>
      </c>
      <c r="E33" s="9" t="s">
        <v>100</v>
      </c>
      <c r="F33" s="9" t="s">
        <v>101</v>
      </c>
      <c r="G33" s="10" t="s">
        <v>175</v>
      </c>
      <c r="H33" s="10">
        <v>1</v>
      </c>
      <c r="I33" s="10" t="s">
        <v>176</v>
      </c>
      <c r="J33" s="10" t="s">
        <v>177</v>
      </c>
      <c r="K33" s="10" t="s">
        <v>7</v>
      </c>
      <c r="L33" s="10" t="s">
        <v>178</v>
      </c>
      <c r="M33" s="10" t="s">
        <v>179</v>
      </c>
      <c r="N33" s="9"/>
      <c r="O33" s="9" t="s">
        <v>51</v>
      </c>
      <c r="P33" s="9"/>
      <c r="Q33" s="10"/>
    </row>
    <row r="34" spans="1:17" ht="32" x14ac:dyDescent="0.4">
      <c r="A34" s="14">
        <v>2</v>
      </c>
      <c r="B34" s="9" t="s">
        <v>124</v>
      </c>
      <c r="C34" s="9" t="s">
        <v>173</v>
      </c>
      <c r="D34" s="9" t="s">
        <v>174</v>
      </c>
      <c r="E34" s="9" t="s">
        <v>100</v>
      </c>
      <c r="F34" s="9" t="s">
        <v>101</v>
      </c>
      <c r="G34" s="10" t="s">
        <v>175</v>
      </c>
      <c r="H34" s="10">
        <v>2</v>
      </c>
      <c r="I34" s="10" t="s">
        <v>180</v>
      </c>
      <c r="J34" s="10" t="s">
        <v>129</v>
      </c>
      <c r="K34" s="10" t="s">
        <v>181</v>
      </c>
      <c r="L34" s="10" t="s">
        <v>182</v>
      </c>
      <c r="M34" s="10" t="s">
        <v>183</v>
      </c>
      <c r="N34" s="9"/>
      <c r="O34" s="9" t="s">
        <v>51</v>
      </c>
      <c r="P34" s="9"/>
      <c r="Q34" s="10"/>
    </row>
    <row r="35" spans="1:17" ht="32" x14ac:dyDescent="0.4">
      <c r="A35" s="14">
        <v>2</v>
      </c>
      <c r="B35" s="9" t="s">
        <v>124</v>
      </c>
      <c r="C35" s="9" t="s">
        <v>173</v>
      </c>
      <c r="D35" s="9" t="s">
        <v>174</v>
      </c>
      <c r="E35" s="9" t="s">
        <v>100</v>
      </c>
      <c r="F35" s="9" t="s">
        <v>101</v>
      </c>
      <c r="G35" s="10" t="s">
        <v>175</v>
      </c>
      <c r="H35" s="10">
        <v>3</v>
      </c>
      <c r="I35" s="10" t="s">
        <v>184</v>
      </c>
      <c r="J35" s="10" t="s">
        <v>185</v>
      </c>
      <c r="K35" s="10" t="s">
        <v>7</v>
      </c>
      <c r="L35" s="10" t="s">
        <v>186</v>
      </c>
      <c r="M35" s="10" t="s">
        <v>187</v>
      </c>
      <c r="N35" s="9"/>
      <c r="O35" s="9" t="s">
        <v>51</v>
      </c>
      <c r="P35" s="9"/>
      <c r="Q35" s="10"/>
    </row>
    <row r="36" spans="1:17" ht="32" x14ac:dyDescent="0.4">
      <c r="A36" s="14">
        <v>2</v>
      </c>
      <c r="B36" s="9" t="s">
        <v>124</v>
      </c>
      <c r="C36" s="9" t="s">
        <v>173</v>
      </c>
      <c r="D36" s="9" t="s">
        <v>174</v>
      </c>
      <c r="E36" s="9" t="s">
        <v>100</v>
      </c>
      <c r="F36" s="9" t="s">
        <v>101</v>
      </c>
      <c r="G36" s="10" t="s">
        <v>175</v>
      </c>
      <c r="H36" s="10">
        <v>4</v>
      </c>
      <c r="I36" s="10" t="s">
        <v>188</v>
      </c>
      <c r="J36" s="10" t="s">
        <v>89</v>
      </c>
      <c r="K36" s="10" t="s">
        <v>170</v>
      </c>
      <c r="L36" s="10" t="s">
        <v>189</v>
      </c>
      <c r="M36" s="10" t="s">
        <v>190</v>
      </c>
      <c r="N36" s="9"/>
      <c r="O36" s="9" t="s">
        <v>51</v>
      </c>
      <c r="P36" s="9"/>
      <c r="Q36" s="10"/>
    </row>
    <row r="37" spans="1:17" ht="32" x14ac:dyDescent="0.4">
      <c r="A37" s="14">
        <v>2</v>
      </c>
      <c r="B37" s="9" t="s">
        <v>124</v>
      </c>
      <c r="C37" s="9" t="s">
        <v>173</v>
      </c>
      <c r="D37" s="9" t="s">
        <v>174</v>
      </c>
      <c r="E37" s="9" t="s">
        <v>100</v>
      </c>
      <c r="F37" s="9" t="s">
        <v>101</v>
      </c>
      <c r="G37" s="10" t="s">
        <v>175</v>
      </c>
      <c r="H37" s="10">
        <v>5</v>
      </c>
      <c r="I37" s="10" t="s">
        <v>191</v>
      </c>
      <c r="J37" s="10" t="s">
        <v>118</v>
      </c>
      <c r="K37" s="10" t="s">
        <v>90</v>
      </c>
      <c r="L37" s="10" t="s">
        <v>192</v>
      </c>
      <c r="M37" s="10" t="s">
        <v>193</v>
      </c>
      <c r="N37" s="9"/>
      <c r="O37" s="9" t="s">
        <v>51</v>
      </c>
      <c r="P37" s="9"/>
      <c r="Q37" s="10"/>
    </row>
    <row r="38" spans="1:17" ht="32" x14ac:dyDescent="0.4">
      <c r="A38" s="14">
        <v>3</v>
      </c>
      <c r="B38" s="9" t="s">
        <v>194</v>
      </c>
      <c r="C38" s="9" t="s">
        <v>195</v>
      </c>
      <c r="D38" s="9" t="s">
        <v>196</v>
      </c>
      <c r="E38" s="9" t="s">
        <v>43</v>
      </c>
      <c r="F38" s="9" t="s">
        <v>44</v>
      </c>
      <c r="G38" s="10" t="s">
        <v>197</v>
      </c>
      <c r="H38" s="10">
        <v>1</v>
      </c>
      <c r="I38" s="10" t="s">
        <v>198</v>
      </c>
      <c r="J38" s="10" t="s">
        <v>199</v>
      </c>
      <c r="K38" s="10" t="s">
        <v>59</v>
      </c>
      <c r="L38" s="10" t="s">
        <v>200</v>
      </c>
      <c r="M38" s="10" t="s">
        <v>201</v>
      </c>
      <c r="N38" s="9"/>
      <c r="O38" s="9" t="s">
        <v>51</v>
      </c>
      <c r="P38" s="9"/>
      <c r="Q38" s="10"/>
    </row>
    <row r="39" spans="1:17" ht="32" x14ac:dyDescent="0.4">
      <c r="A39" s="14">
        <v>3</v>
      </c>
      <c r="B39" s="9" t="s">
        <v>194</v>
      </c>
      <c r="C39" s="9" t="s">
        <v>195</v>
      </c>
      <c r="D39" s="9" t="s">
        <v>196</v>
      </c>
      <c r="E39" s="9" t="s">
        <v>43</v>
      </c>
      <c r="F39" s="9" t="s">
        <v>44</v>
      </c>
      <c r="G39" s="10" t="s">
        <v>197</v>
      </c>
      <c r="H39" s="10">
        <v>2</v>
      </c>
      <c r="I39" s="10" t="s">
        <v>202</v>
      </c>
      <c r="J39" s="10" t="s">
        <v>203</v>
      </c>
      <c r="K39" s="10" t="s">
        <v>204</v>
      </c>
      <c r="L39" s="10" t="s">
        <v>205</v>
      </c>
      <c r="M39" s="10" t="s">
        <v>206</v>
      </c>
      <c r="N39" s="9"/>
      <c r="O39" s="9" t="s">
        <v>51</v>
      </c>
      <c r="P39" s="9"/>
      <c r="Q39" s="10"/>
    </row>
    <row r="40" spans="1:17" ht="32" x14ac:dyDescent="0.4">
      <c r="A40" s="14">
        <v>3</v>
      </c>
      <c r="B40" s="9" t="s">
        <v>194</v>
      </c>
      <c r="C40" s="9" t="s">
        <v>195</v>
      </c>
      <c r="D40" s="9" t="s">
        <v>196</v>
      </c>
      <c r="E40" s="9" t="s">
        <v>43</v>
      </c>
      <c r="F40" s="9" t="s">
        <v>44</v>
      </c>
      <c r="G40" s="10" t="s">
        <v>197</v>
      </c>
      <c r="H40" s="10">
        <v>3</v>
      </c>
      <c r="I40" s="10" t="s">
        <v>207</v>
      </c>
      <c r="J40" s="10" t="s">
        <v>148</v>
      </c>
      <c r="K40" s="10" t="s">
        <v>149</v>
      </c>
      <c r="L40" s="10" t="s">
        <v>208</v>
      </c>
      <c r="M40" s="10" t="s">
        <v>209</v>
      </c>
      <c r="N40" s="9"/>
      <c r="O40" s="9" t="s">
        <v>51</v>
      </c>
      <c r="P40" s="9"/>
      <c r="Q40" s="10"/>
    </row>
    <row r="41" spans="1:17" ht="32" x14ac:dyDescent="0.4">
      <c r="A41" s="14">
        <v>3</v>
      </c>
      <c r="B41" s="9" t="s">
        <v>194</v>
      </c>
      <c r="C41" s="9" t="s">
        <v>195</v>
      </c>
      <c r="D41" s="9" t="s">
        <v>196</v>
      </c>
      <c r="E41" s="9" t="s">
        <v>43</v>
      </c>
      <c r="F41" s="9" t="s">
        <v>44</v>
      </c>
      <c r="G41" s="10" t="s">
        <v>197</v>
      </c>
      <c r="H41" s="10">
        <v>4</v>
      </c>
      <c r="I41" s="10" t="s">
        <v>210</v>
      </c>
      <c r="J41" s="10" t="s">
        <v>94</v>
      </c>
      <c r="K41" s="10" t="s">
        <v>95</v>
      </c>
      <c r="L41" s="10" t="s">
        <v>211</v>
      </c>
      <c r="M41" s="10" t="s">
        <v>212</v>
      </c>
      <c r="N41" s="9"/>
      <c r="O41" s="9" t="s">
        <v>51</v>
      </c>
      <c r="P41" s="9"/>
      <c r="Q41" s="10"/>
    </row>
    <row r="42" spans="1:17" ht="32" x14ac:dyDescent="0.4">
      <c r="A42" s="14">
        <v>3</v>
      </c>
      <c r="B42" s="9" t="s">
        <v>194</v>
      </c>
      <c r="C42" s="9" t="s">
        <v>195</v>
      </c>
      <c r="D42" s="9" t="s">
        <v>196</v>
      </c>
      <c r="E42" s="9" t="s">
        <v>43</v>
      </c>
      <c r="F42" s="9" t="s">
        <v>44</v>
      </c>
      <c r="G42" s="10" t="s">
        <v>197</v>
      </c>
      <c r="H42" s="10">
        <v>5</v>
      </c>
      <c r="I42" s="10" t="s">
        <v>213</v>
      </c>
      <c r="J42" s="10" t="s">
        <v>214</v>
      </c>
      <c r="K42" s="10" t="s">
        <v>215</v>
      </c>
      <c r="L42" s="10" t="s">
        <v>216</v>
      </c>
      <c r="M42" s="10" t="s">
        <v>217</v>
      </c>
      <c r="N42" s="9"/>
      <c r="O42" s="9" t="s">
        <v>51</v>
      </c>
      <c r="P42" s="9"/>
      <c r="Q42" s="10"/>
    </row>
    <row r="43" spans="1:17" ht="32" x14ac:dyDescent="0.4">
      <c r="A43" s="14">
        <v>3</v>
      </c>
      <c r="B43" s="9" t="s">
        <v>194</v>
      </c>
      <c r="C43" s="9" t="s">
        <v>195</v>
      </c>
      <c r="D43" s="9" t="s">
        <v>196</v>
      </c>
      <c r="E43" s="9" t="s">
        <v>43</v>
      </c>
      <c r="F43" s="9" t="s">
        <v>44</v>
      </c>
      <c r="G43" s="10" t="s">
        <v>197</v>
      </c>
      <c r="H43" s="10">
        <v>6</v>
      </c>
      <c r="I43" s="10" t="s">
        <v>218</v>
      </c>
      <c r="J43" s="10" t="s">
        <v>219</v>
      </c>
      <c r="K43" s="10" t="s">
        <v>220</v>
      </c>
      <c r="L43" s="10" t="s">
        <v>221</v>
      </c>
      <c r="M43" s="10" t="s">
        <v>222</v>
      </c>
      <c r="N43" s="9"/>
      <c r="O43" s="9" t="s">
        <v>51</v>
      </c>
      <c r="P43" s="9"/>
      <c r="Q43" s="10"/>
    </row>
    <row r="44" spans="1:17" ht="32" x14ac:dyDescent="0.4">
      <c r="A44" s="14">
        <v>3</v>
      </c>
      <c r="B44" s="9" t="s">
        <v>194</v>
      </c>
      <c r="C44" s="9" t="s">
        <v>195</v>
      </c>
      <c r="D44" s="9" t="s">
        <v>196</v>
      </c>
      <c r="E44" s="9" t="s">
        <v>43</v>
      </c>
      <c r="F44" s="9" t="s">
        <v>44</v>
      </c>
      <c r="G44" s="10" t="s">
        <v>197</v>
      </c>
      <c r="H44" s="10">
        <v>7</v>
      </c>
      <c r="I44" s="10" t="s">
        <v>223</v>
      </c>
      <c r="J44" s="10" t="s">
        <v>219</v>
      </c>
      <c r="K44" s="10" t="s">
        <v>220</v>
      </c>
      <c r="L44" s="10" t="s">
        <v>224</v>
      </c>
      <c r="M44" s="10" t="s">
        <v>225</v>
      </c>
      <c r="N44" s="9"/>
      <c r="O44" s="9" t="s">
        <v>51</v>
      </c>
      <c r="P44" s="9"/>
      <c r="Q44" s="10"/>
    </row>
    <row r="45" spans="1:17" ht="32" x14ac:dyDescent="0.4">
      <c r="A45" s="14">
        <v>3</v>
      </c>
      <c r="B45" s="9" t="s">
        <v>194</v>
      </c>
      <c r="C45" s="9" t="s">
        <v>195</v>
      </c>
      <c r="D45" s="9" t="s">
        <v>196</v>
      </c>
      <c r="E45" s="9" t="s">
        <v>43</v>
      </c>
      <c r="F45" s="9" t="s">
        <v>44</v>
      </c>
      <c r="G45" s="10" t="s">
        <v>197</v>
      </c>
      <c r="H45" s="10">
        <v>8</v>
      </c>
      <c r="I45" s="10" t="s">
        <v>226</v>
      </c>
      <c r="J45" s="10" t="s">
        <v>227</v>
      </c>
      <c r="K45" s="10" t="s">
        <v>220</v>
      </c>
      <c r="L45" s="10" t="s">
        <v>228</v>
      </c>
      <c r="M45" s="10" t="s">
        <v>229</v>
      </c>
      <c r="N45" s="9"/>
      <c r="O45" s="9" t="s">
        <v>51</v>
      </c>
      <c r="P45" s="9"/>
      <c r="Q45" s="10"/>
    </row>
    <row r="46" spans="1:17" ht="32" x14ac:dyDescent="0.4">
      <c r="A46" s="14">
        <v>3</v>
      </c>
      <c r="B46" s="9" t="s">
        <v>194</v>
      </c>
      <c r="C46" s="9" t="s">
        <v>195</v>
      </c>
      <c r="D46" s="9" t="s">
        <v>196</v>
      </c>
      <c r="E46" s="9" t="s">
        <v>43</v>
      </c>
      <c r="F46" s="9" t="s">
        <v>44</v>
      </c>
      <c r="G46" s="10" t="s">
        <v>197</v>
      </c>
      <c r="H46" s="10">
        <v>9</v>
      </c>
      <c r="I46" s="10" t="s">
        <v>230</v>
      </c>
      <c r="J46" s="10" t="s">
        <v>219</v>
      </c>
      <c r="K46" s="10" t="s">
        <v>220</v>
      </c>
      <c r="L46" s="10" t="s">
        <v>231</v>
      </c>
      <c r="M46" s="10" t="s">
        <v>232</v>
      </c>
      <c r="N46" s="9"/>
      <c r="O46" s="9" t="s">
        <v>51</v>
      </c>
      <c r="P46" s="9"/>
      <c r="Q46" s="10"/>
    </row>
    <row r="47" spans="1:17" ht="32" x14ac:dyDescent="0.4">
      <c r="A47" s="14">
        <v>3</v>
      </c>
      <c r="B47" s="9" t="s">
        <v>194</v>
      </c>
      <c r="C47" s="9" t="s">
        <v>233</v>
      </c>
      <c r="D47" s="9" t="s">
        <v>234</v>
      </c>
      <c r="E47" s="9" t="s">
        <v>235</v>
      </c>
      <c r="F47" s="9" t="s">
        <v>44</v>
      </c>
      <c r="G47" s="10" t="s">
        <v>236</v>
      </c>
      <c r="H47" s="10">
        <v>1</v>
      </c>
      <c r="I47" s="10" t="s">
        <v>237</v>
      </c>
      <c r="J47" s="10" t="s">
        <v>214</v>
      </c>
      <c r="K47" s="10" t="s">
        <v>238</v>
      </c>
      <c r="L47" s="10" t="s">
        <v>239</v>
      </c>
      <c r="M47" s="10" t="s">
        <v>240</v>
      </c>
      <c r="N47" s="9"/>
      <c r="O47" s="9" t="s">
        <v>51</v>
      </c>
      <c r="P47" s="9"/>
      <c r="Q47" s="10"/>
    </row>
    <row r="48" spans="1:17" ht="32" x14ac:dyDescent="0.4">
      <c r="A48" s="14">
        <v>3</v>
      </c>
      <c r="B48" s="9" t="s">
        <v>194</v>
      </c>
      <c r="C48" s="9" t="s">
        <v>233</v>
      </c>
      <c r="D48" s="9" t="s">
        <v>234</v>
      </c>
      <c r="E48" s="9" t="s">
        <v>235</v>
      </c>
      <c r="F48" s="9" t="s">
        <v>44</v>
      </c>
      <c r="G48" s="10" t="s">
        <v>236</v>
      </c>
      <c r="H48" s="10">
        <v>2</v>
      </c>
      <c r="I48" s="10" t="s">
        <v>241</v>
      </c>
      <c r="J48" s="10" t="s">
        <v>219</v>
      </c>
      <c r="K48" s="10" t="s">
        <v>220</v>
      </c>
      <c r="L48" s="10" t="s">
        <v>242</v>
      </c>
      <c r="M48" s="10" t="s">
        <v>243</v>
      </c>
      <c r="N48" s="9"/>
      <c r="O48" s="9" t="s">
        <v>51</v>
      </c>
      <c r="P48" s="9"/>
      <c r="Q48" s="10"/>
    </row>
    <row r="49" spans="1:17" ht="32" x14ac:dyDescent="0.4">
      <c r="A49" s="14">
        <v>3</v>
      </c>
      <c r="B49" s="9" t="s">
        <v>194</v>
      </c>
      <c r="C49" s="9" t="s">
        <v>233</v>
      </c>
      <c r="D49" s="9" t="s">
        <v>234</v>
      </c>
      <c r="E49" s="9" t="s">
        <v>235</v>
      </c>
      <c r="F49" s="9" t="s">
        <v>44</v>
      </c>
      <c r="G49" s="10" t="s">
        <v>236</v>
      </c>
      <c r="H49" s="10">
        <v>3</v>
      </c>
      <c r="I49" s="10" t="s">
        <v>244</v>
      </c>
      <c r="J49" s="10" t="s">
        <v>245</v>
      </c>
      <c r="K49" s="10" t="s">
        <v>246</v>
      </c>
      <c r="L49" s="10" t="s">
        <v>247</v>
      </c>
      <c r="M49" s="10" t="s">
        <v>248</v>
      </c>
      <c r="N49" s="9"/>
      <c r="O49" s="9" t="s">
        <v>51</v>
      </c>
      <c r="P49" s="9"/>
      <c r="Q49" s="10"/>
    </row>
    <row r="50" spans="1:17" ht="32" x14ac:dyDescent="0.4">
      <c r="A50" s="14">
        <v>3</v>
      </c>
      <c r="B50" s="9" t="s">
        <v>194</v>
      </c>
      <c r="C50" s="9" t="s">
        <v>233</v>
      </c>
      <c r="D50" s="9" t="s">
        <v>234</v>
      </c>
      <c r="E50" s="9" t="s">
        <v>235</v>
      </c>
      <c r="F50" s="9" t="s">
        <v>44</v>
      </c>
      <c r="G50" s="10" t="s">
        <v>236</v>
      </c>
      <c r="H50" s="10">
        <v>4</v>
      </c>
      <c r="I50" s="10" t="s">
        <v>249</v>
      </c>
      <c r="J50" s="10" t="s">
        <v>250</v>
      </c>
      <c r="K50" s="10" t="s">
        <v>9</v>
      </c>
      <c r="L50" s="10" t="s">
        <v>251</v>
      </c>
      <c r="M50" s="10" t="s">
        <v>252</v>
      </c>
      <c r="N50" s="9"/>
      <c r="O50" s="9" t="s">
        <v>51</v>
      </c>
      <c r="P50" s="9"/>
      <c r="Q50" s="10"/>
    </row>
    <row r="51" spans="1:17" ht="32" x14ac:dyDescent="0.4">
      <c r="A51" s="14">
        <v>3</v>
      </c>
      <c r="B51" s="9" t="s">
        <v>194</v>
      </c>
      <c r="C51" s="9" t="s">
        <v>233</v>
      </c>
      <c r="D51" s="9" t="s">
        <v>234</v>
      </c>
      <c r="E51" s="9" t="s">
        <v>235</v>
      </c>
      <c r="F51" s="9" t="s">
        <v>44</v>
      </c>
      <c r="G51" s="10" t="s">
        <v>236</v>
      </c>
      <c r="H51" s="10">
        <v>5</v>
      </c>
      <c r="I51" s="10" t="s">
        <v>253</v>
      </c>
      <c r="J51" s="10" t="s">
        <v>227</v>
      </c>
      <c r="K51" s="10" t="s">
        <v>254</v>
      </c>
      <c r="L51" s="10" t="s">
        <v>255</v>
      </c>
      <c r="M51" s="10" t="s">
        <v>256</v>
      </c>
      <c r="N51" s="9"/>
      <c r="O51" s="9" t="s">
        <v>51</v>
      </c>
      <c r="P51" s="9"/>
      <c r="Q51" s="10"/>
    </row>
    <row r="52" spans="1:17" ht="32" x14ac:dyDescent="0.4">
      <c r="A52" s="14">
        <v>4</v>
      </c>
      <c r="B52" s="9" t="s">
        <v>257</v>
      </c>
      <c r="C52" s="9" t="s">
        <v>258</v>
      </c>
      <c r="D52" s="9" t="s">
        <v>259</v>
      </c>
      <c r="E52" s="9" t="s">
        <v>43</v>
      </c>
      <c r="F52" s="9" t="s">
        <v>44</v>
      </c>
      <c r="G52" s="10" t="s">
        <v>260</v>
      </c>
      <c r="H52" s="10">
        <v>1</v>
      </c>
      <c r="I52" s="10" t="s">
        <v>261</v>
      </c>
      <c r="J52" s="10" t="s">
        <v>219</v>
      </c>
      <c r="K52" s="10" t="s">
        <v>220</v>
      </c>
      <c r="L52" s="10" t="s">
        <v>262</v>
      </c>
      <c r="M52" s="10" t="s">
        <v>263</v>
      </c>
      <c r="N52" s="9"/>
      <c r="O52" s="9" t="s">
        <v>51</v>
      </c>
      <c r="P52" s="9"/>
      <c r="Q52" s="10"/>
    </row>
    <row r="53" spans="1:17" ht="32" x14ac:dyDescent="0.4">
      <c r="A53" s="14">
        <v>4</v>
      </c>
      <c r="B53" s="9" t="s">
        <v>257</v>
      </c>
      <c r="C53" s="9" t="s">
        <v>258</v>
      </c>
      <c r="D53" s="9" t="s">
        <v>259</v>
      </c>
      <c r="E53" s="9" t="s">
        <v>43</v>
      </c>
      <c r="F53" s="9" t="s">
        <v>44</v>
      </c>
      <c r="G53" s="10" t="s">
        <v>260</v>
      </c>
      <c r="H53" s="10">
        <v>2</v>
      </c>
      <c r="I53" s="10" t="s">
        <v>264</v>
      </c>
      <c r="J53" s="10" t="s">
        <v>219</v>
      </c>
      <c r="K53" s="10" t="s">
        <v>220</v>
      </c>
      <c r="L53" s="10" t="s">
        <v>265</v>
      </c>
      <c r="M53" s="10" t="s">
        <v>266</v>
      </c>
      <c r="N53" s="9"/>
      <c r="O53" s="9" t="s">
        <v>51</v>
      </c>
      <c r="P53" s="9"/>
      <c r="Q53" s="10"/>
    </row>
    <row r="54" spans="1:17" ht="32" x14ac:dyDescent="0.4">
      <c r="A54" s="14">
        <v>4</v>
      </c>
      <c r="B54" s="9" t="s">
        <v>257</v>
      </c>
      <c r="C54" s="9" t="s">
        <v>258</v>
      </c>
      <c r="D54" s="9" t="s">
        <v>259</v>
      </c>
      <c r="E54" s="9" t="s">
        <v>43</v>
      </c>
      <c r="F54" s="9" t="s">
        <v>44</v>
      </c>
      <c r="G54" s="10" t="s">
        <v>260</v>
      </c>
      <c r="H54" s="10">
        <v>3</v>
      </c>
      <c r="I54" s="10" t="s">
        <v>267</v>
      </c>
      <c r="J54" s="10" t="s">
        <v>227</v>
      </c>
      <c r="K54" s="10" t="s">
        <v>220</v>
      </c>
      <c r="L54" s="10" t="s">
        <v>268</v>
      </c>
      <c r="M54" s="10" t="s">
        <v>269</v>
      </c>
      <c r="N54" s="9"/>
      <c r="O54" s="9" t="s">
        <v>51</v>
      </c>
      <c r="P54" s="9"/>
      <c r="Q54" s="10"/>
    </row>
    <row r="55" spans="1:17" ht="32" x14ac:dyDescent="0.4">
      <c r="A55" s="14">
        <v>4</v>
      </c>
      <c r="B55" s="9" t="s">
        <v>257</v>
      </c>
      <c r="C55" s="9" t="s">
        <v>258</v>
      </c>
      <c r="D55" s="9" t="s">
        <v>259</v>
      </c>
      <c r="E55" s="9" t="s">
        <v>43</v>
      </c>
      <c r="F55" s="9" t="s">
        <v>44</v>
      </c>
      <c r="G55" s="10" t="s">
        <v>260</v>
      </c>
      <c r="H55" s="10">
        <v>4</v>
      </c>
      <c r="I55" s="10" t="s">
        <v>270</v>
      </c>
      <c r="J55" s="10" t="s">
        <v>271</v>
      </c>
      <c r="K55" s="10" t="s">
        <v>220</v>
      </c>
      <c r="L55" s="10" t="s">
        <v>272</v>
      </c>
      <c r="M55" s="10" t="s">
        <v>273</v>
      </c>
      <c r="N55" s="9"/>
      <c r="O55" s="9" t="s">
        <v>51</v>
      </c>
      <c r="P55" s="9"/>
      <c r="Q55" s="10"/>
    </row>
    <row r="56" spans="1:17" ht="32" x14ac:dyDescent="0.4">
      <c r="A56" s="14">
        <v>4</v>
      </c>
      <c r="B56" s="9" t="s">
        <v>257</v>
      </c>
      <c r="C56" s="9" t="s">
        <v>258</v>
      </c>
      <c r="D56" s="9" t="s">
        <v>259</v>
      </c>
      <c r="E56" s="9" t="s">
        <v>43</v>
      </c>
      <c r="F56" s="9" t="s">
        <v>44</v>
      </c>
      <c r="G56" s="10" t="s">
        <v>260</v>
      </c>
      <c r="H56" s="10">
        <v>5</v>
      </c>
      <c r="I56" s="10" t="s">
        <v>274</v>
      </c>
      <c r="J56" s="10" t="s">
        <v>275</v>
      </c>
      <c r="K56" s="10" t="s">
        <v>220</v>
      </c>
      <c r="L56" s="10" t="s">
        <v>276</v>
      </c>
      <c r="M56" s="10" t="s">
        <v>277</v>
      </c>
      <c r="N56" s="9"/>
      <c r="O56" s="9" t="s">
        <v>51</v>
      </c>
      <c r="P56" s="9"/>
      <c r="Q56" s="10"/>
    </row>
    <row r="57" spans="1:17" ht="32" x14ac:dyDescent="0.4">
      <c r="A57" s="14">
        <v>4</v>
      </c>
      <c r="B57" s="9" t="s">
        <v>257</v>
      </c>
      <c r="C57" s="9" t="s">
        <v>258</v>
      </c>
      <c r="D57" s="9" t="s">
        <v>259</v>
      </c>
      <c r="E57" s="9" t="s">
        <v>43</v>
      </c>
      <c r="F57" s="9" t="s">
        <v>44</v>
      </c>
      <c r="G57" s="10" t="s">
        <v>260</v>
      </c>
      <c r="H57" s="10">
        <v>6</v>
      </c>
      <c r="I57" s="10" t="s">
        <v>278</v>
      </c>
      <c r="J57" s="10" t="s">
        <v>219</v>
      </c>
      <c r="K57" s="10" t="s">
        <v>279</v>
      </c>
      <c r="L57" s="10" t="s">
        <v>280</v>
      </c>
      <c r="M57" s="10" t="s">
        <v>281</v>
      </c>
      <c r="N57" s="9"/>
      <c r="O57" s="9" t="s">
        <v>51</v>
      </c>
      <c r="P57" s="9"/>
      <c r="Q57" s="10"/>
    </row>
    <row r="58" spans="1:17" ht="32" x14ac:dyDescent="0.4">
      <c r="A58" s="14">
        <v>4</v>
      </c>
      <c r="B58" s="9" t="s">
        <v>257</v>
      </c>
      <c r="C58" s="9" t="s">
        <v>258</v>
      </c>
      <c r="D58" s="9" t="s">
        <v>259</v>
      </c>
      <c r="E58" s="9" t="s">
        <v>43</v>
      </c>
      <c r="F58" s="9" t="s">
        <v>44</v>
      </c>
      <c r="G58" s="10" t="s">
        <v>260</v>
      </c>
      <c r="H58" s="10">
        <v>7</v>
      </c>
      <c r="I58" s="10" t="s">
        <v>282</v>
      </c>
      <c r="J58" s="10" t="s">
        <v>283</v>
      </c>
      <c r="K58" s="10" t="s">
        <v>284</v>
      </c>
      <c r="L58" s="10" t="s">
        <v>285</v>
      </c>
      <c r="M58" s="10" t="s">
        <v>286</v>
      </c>
      <c r="N58" s="9"/>
      <c r="O58" s="9" t="s">
        <v>51</v>
      </c>
      <c r="P58" s="9"/>
      <c r="Q58" s="10"/>
    </row>
    <row r="59" spans="1:17" ht="32" x14ac:dyDescent="0.4">
      <c r="A59" s="14">
        <v>4</v>
      </c>
      <c r="B59" s="9" t="s">
        <v>257</v>
      </c>
      <c r="C59" s="9" t="s">
        <v>258</v>
      </c>
      <c r="D59" s="9" t="s">
        <v>259</v>
      </c>
      <c r="E59" s="9" t="s">
        <v>43</v>
      </c>
      <c r="F59" s="9" t="s">
        <v>44</v>
      </c>
      <c r="G59" s="10" t="s">
        <v>260</v>
      </c>
      <c r="H59" s="10">
        <v>8</v>
      </c>
      <c r="I59" s="10" t="s">
        <v>287</v>
      </c>
      <c r="J59" s="10" t="s">
        <v>219</v>
      </c>
      <c r="K59" s="10" t="s">
        <v>220</v>
      </c>
      <c r="L59" s="10" t="s">
        <v>288</v>
      </c>
      <c r="M59" s="10" t="s">
        <v>289</v>
      </c>
      <c r="N59" s="9"/>
      <c r="O59" s="9" t="s">
        <v>51</v>
      </c>
      <c r="P59" s="9"/>
      <c r="Q59" s="10"/>
    </row>
    <row r="60" spans="1:17" ht="32" x14ac:dyDescent="0.4">
      <c r="A60" s="14">
        <v>4</v>
      </c>
      <c r="B60" s="9" t="s">
        <v>257</v>
      </c>
      <c r="C60" s="9" t="s">
        <v>258</v>
      </c>
      <c r="D60" s="9" t="s">
        <v>259</v>
      </c>
      <c r="E60" s="9" t="s">
        <v>43</v>
      </c>
      <c r="F60" s="9" t="s">
        <v>44</v>
      </c>
      <c r="G60" s="10" t="s">
        <v>260</v>
      </c>
      <c r="H60" s="10">
        <v>9</v>
      </c>
      <c r="I60" s="10" t="s">
        <v>290</v>
      </c>
      <c r="J60" s="10" t="s">
        <v>219</v>
      </c>
      <c r="K60" s="10" t="s">
        <v>220</v>
      </c>
      <c r="L60" s="10" t="s">
        <v>291</v>
      </c>
      <c r="M60" s="10" t="s">
        <v>292</v>
      </c>
      <c r="N60" s="9"/>
      <c r="O60" s="9" t="s">
        <v>51</v>
      </c>
      <c r="P60" s="9"/>
      <c r="Q60" s="10"/>
    </row>
    <row r="61" spans="1:17" ht="32" x14ac:dyDescent="0.4">
      <c r="A61" s="14">
        <v>4</v>
      </c>
      <c r="B61" s="9" t="s">
        <v>257</v>
      </c>
      <c r="C61" s="9" t="s">
        <v>293</v>
      </c>
      <c r="D61" s="9" t="s">
        <v>294</v>
      </c>
      <c r="E61" s="9" t="s">
        <v>100</v>
      </c>
      <c r="F61" s="9" t="s">
        <v>101</v>
      </c>
      <c r="G61" s="10" t="s">
        <v>295</v>
      </c>
      <c r="H61" s="10">
        <v>1</v>
      </c>
      <c r="I61" s="10" t="s">
        <v>296</v>
      </c>
      <c r="J61" s="10" t="s">
        <v>297</v>
      </c>
      <c r="K61" s="10" t="s">
        <v>220</v>
      </c>
      <c r="L61" s="10" t="s">
        <v>298</v>
      </c>
      <c r="M61" s="10" t="s">
        <v>299</v>
      </c>
      <c r="N61" s="9"/>
      <c r="O61" s="9" t="s">
        <v>51</v>
      </c>
      <c r="P61" s="9"/>
      <c r="Q61" s="10"/>
    </row>
    <row r="62" spans="1:17" ht="32" x14ac:dyDescent="0.4">
      <c r="A62" s="14">
        <v>4</v>
      </c>
      <c r="B62" s="9" t="s">
        <v>257</v>
      </c>
      <c r="C62" s="9" t="s">
        <v>293</v>
      </c>
      <c r="D62" s="9" t="s">
        <v>294</v>
      </c>
      <c r="E62" s="9" t="s">
        <v>100</v>
      </c>
      <c r="F62" s="9" t="s">
        <v>101</v>
      </c>
      <c r="G62" s="10" t="s">
        <v>295</v>
      </c>
      <c r="H62" s="10">
        <v>2</v>
      </c>
      <c r="I62" s="10" t="s">
        <v>300</v>
      </c>
      <c r="J62" s="10" t="s">
        <v>219</v>
      </c>
      <c r="K62" s="10" t="s">
        <v>220</v>
      </c>
      <c r="L62" s="10" t="s">
        <v>301</v>
      </c>
      <c r="M62" s="10" t="s">
        <v>302</v>
      </c>
      <c r="N62" s="9"/>
      <c r="O62" s="9" t="s">
        <v>51</v>
      </c>
      <c r="P62" s="9"/>
      <c r="Q62" s="10"/>
    </row>
    <row r="63" spans="1:17" ht="32" x14ac:dyDescent="0.4">
      <c r="A63" s="14">
        <v>4</v>
      </c>
      <c r="B63" s="9" t="s">
        <v>257</v>
      </c>
      <c r="C63" s="9" t="s">
        <v>293</v>
      </c>
      <c r="D63" s="9" t="s">
        <v>294</v>
      </c>
      <c r="E63" s="9" t="s">
        <v>100</v>
      </c>
      <c r="F63" s="9" t="s">
        <v>101</v>
      </c>
      <c r="G63" s="10" t="s">
        <v>295</v>
      </c>
      <c r="H63" s="10">
        <v>3</v>
      </c>
      <c r="I63" s="10" t="s">
        <v>303</v>
      </c>
      <c r="J63" s="10" t="s">
        <v>283</v>
      </c>
      <c r="K63" s="10" t="s">
        <v>284</v>
      </c>
      <c r="L63" s="10" t="s">
        <v>304</v>
      </c>
      <c r="M63" s="10" t="s">
        <v>305</v>
      </c>
      <c r="N63" s="9"/>
      <c r="O63" s="9" t="s">
        <v>51</v>
      </c>
      <c r="P63" s="9"/>
      <c r="Q63" s="10"/>
    </row>
    <row r="64" spans="1:17" ht="32" x14ac:dyDescent="0.4">
      <c r="A64" s="14">
        <v>4</v>
      </c>
      <c r="B64" s="9" t="s">
        <v>257</v>
      </c>
      <c r="C64" s="9" t="s">
        <v>293</v>
      </c>
      <c r="D64" s="9" t="s">
        <v>294</v>
      </c>
      <c r="E64" s="9" t="s">
        <v>100</v>
      </c>
      <c r="F64" s="9" t="s">
        <v>101</v>
      </c>
      <c r="G64" s="10" t="s">
        <v>295</v>
      </c>
      <c r="H64" s="10">
        <v>4</v>
      </c>
      <c r="I64" s="10" t="s">
        <v>306</v>
      </c>
      <c r="J64" s="10" t="s">
        <v>227</v>
      </c>
      <c r="K64" s="10" t="s">
        <v>307</v>
      </c>
      <c r="L64" s="10" t="s">
        <v>308</v>
      </c>
      <c r="M64" s="10" t="s">
        <v>309</v>
      </c>
      <c r="N64" s="9"/>
      <c r="O64" s="9" t="s">
        <v>51</v>
      </c>
      <c r="P64" s="9"/>
      <c r="Q64" s="10"/>
    </row>
    <row r="65" spans="1:17" ht="32" x14ac:dyDescent="0.4">
      <c r="A65" s="14">
        <v>4</v>
      </c>
      <c r="B65" s="9" t="s">
        <v>257</v>
      </c>
      <c r="C65" s="9" t="s">
        <v>293</v>
      </c>
      <c r="D65" s="9" t="s">
        <v>294</v>
      </c>
      <c r="E65" s="9" t="s">
        <v>100</v>
      </c>
      <c r="F65" s="9" t="s">
        <v>101</v>
      </c>
      <c r="G65" s="10" t="s">
        <v>295</v>
      </c>
      <c r="H65" s="10">
        <v>5</v>
      </c>
      <c r="I65" s="10" t="s">
        <v>310</v>
      </c>
      <c r="J65" s="10" t="s">
        <v>227</v>
      </c>
      <c r="K65" s="10" t="s">
        <v>220</v>
      </c>
      <c r="L65" s="10" t="s">
        <v>311</v>
      </c>
      <c r="M65" s="10" t="s">
        <v>312</v>
      </c>
      <c r="N65" s="9"/>
      <c r="O65" s="9" t="s">
        <v>51</v>
      </c>
      <c r="P65" s="9"/>
      <c r="Q65" s="10"/>
    </row>
    <row r="66" spans="1:17" ht="32" x14ac:dyDescent="0.4">
      <c r="A66" s="14">
        <v>5</v>
      </c>
      <c r="B66" s="9" t="s">
        <v>313</v>
      </c>
      <c r="C66" s="9" t="s">
        <v>314</v>
      </c>
      <c r="D66" s="9" t="s">
        <v>315</v>
      </c>
      <c r="E66" s="9" t="s">
        <v>43</v>
      </c>
      <c r="F66" s="9" t="s">
        <v>44</v>
      </c>
      <c r="G66" s="10" t="s">
        <v>316</v>
      </c>
      <c r="H66" s="10">
        <v>1</v>
      </c>
      <c r="I66" s="10" t="s">
        <v>317</v>
      </c>
      <c r="J66" s="10" t="s">
        <v>318</v>
      </c>
      <c r="K66" s="10" t="s">
        <v>319</v>
      </c>
      <c r="L66" s="10" t="s">
        <v>320</v>
      </c>
      <c r="M66" s="10" t="s">
        <v>321</v>
      </c>
      <c r="N66" s="9"/>
      <c r="O66" s="9" t="s">
        <v>51</v>
      </c>
      <c r="P66" s="9"/>
      <c r="Q66" s="10"/>
    </row>
    <row r="67" spans="1:17" ht="32" x14ac:dyDescent="0.4">
      <c r="A67" s="14">
        <v>5</v>
      </c>
      <c r="B67" s="9" t="s">
        <v>313</v>
      </c>
      <c r="C67" s="9" t="s">
        <v>314</v>
      </c>
      <c r="D67" s="9" t="s">
        <v>315</v>
      </c>
      <c r="E67" s="9" t="s">
        <v>43</v>
      </c>
      <c r="F67" s="9" t="s">
        <v>44</v>
      </c>
      <c r="G67" s="10" t="s">
        <v>316</v>
      </c>
      <c r="H67" s="10">
        <v>2</v>
      </c>
      <c r="I67" s="10" t="s">
        <v>322</v>
      </c>
      <c r="J67" s="10" t="s">
        <v>219</v>
      </c>
      <c r="K67" s="10" t="s">
        <v>220</v>
      </c>
      <c r="L67" s="10" t="s">
        <v>323</v>
      </c>
      <c r="M67" s="10" t="s">
        <v>324</v>
      </c>
      <c r="N67" s="9"/>
      <c r="O67" s="9" t="s">
        <v>51</v>
      </c>
      <c r="P67" s="9"/>
      <c r="Q67" s="10"/>
    </row>
    <row r="68" spans="1:17" ht="32" x14ac:dyDescent="0.4">
      <c r="A68" s="14">
        <v>5</v>
      </c>
      <c r="B68" s="9" t="s">
        <v>313</v>
      </c>
      <c r="C68" s="9" t="s">
        <v>314</v>
      </c>
      <c r="D68" s="9" t="s">
        <v>315</v>
      </c>
      <c r="E68" s="9" t="s">
        <v>43</v>
      </c>
      <c r="F68" s="9" t="s">
        <v>44</v>
      </c>
      <c r="G68" s="10" t="s">
        <v>316</v>
      </c>
      <c r="H68" s="10">
        <v>3</v>
      </c>
      <c r="I68" s="10" t="s">
        <v>325</v>
      </c>
      <c r="J68" s="10" t="s">
        <v>219</v>
      </c>
      <c r="K68" s="10" t="s">
        <v>279</v>
      </c>
      <c r="L68" s="10" t="s">
        <v>326</v>
      </c>
      <c r="M68" s="10" t="s">
        <v>327</v>
      </c>
      <c r="N68" s="9"/>
      <c r="O68" s="9" t="s">
        <v>51</v>
      </c>
      <c r="P68" s="9"/>
      <c r="Q68" s="10"/>
    </row>
    <row r="69" spans="1:17" ht="32" x14ac:dyDescent="0.4">
      <c r="A69" s="14">
        <v>5</v>
      </c>
      <c r="B69" s="9" t="s">
        <v>313</v>
      </c>
      <c r="C69" s="9" t="s">
        <v>314</v>
      </c>
      <c r="D69" s="9" t="s">
        <v>315</v>
      </c>
      <c r="E69" s="9" t="s">
        <v>43</v>
      </c>
      <c r="F69" s="9" t="s">
        <v>44</v>
      </c>
      <c r="G69" s="10" t="s">
        <v>316</v>
      </c>
      <c r="H69" s="10">
        <v>4</v>
      </c>
      <c r="I69" s="10" t="s">
        <v>328</v>
      </c>
      <c r="J69" s="10" t="s">
        <v>329</v>
      </c>
      <c r="K69" s="10" t="s">
        <v>90</v>
      </c>
      <c r="L69" s="10" t="s">
        <v>330</v>
      </c>
      <c r="M69" s="10" t="s">
        <v>331</v>
      </c>
      <c r="N69" s="9"/>
      <c r="O69" s="9" t="s">
        <v>51</v>
      </c>
      <c r="P69" s="9"/>
      <c r="Q69" s="10"/>
    </row>
    <row r="70" spans="1:17" ht="32" x14ac:dyDescent="0.4">
      <c r="A70" s="14">
        <v>5</v>
      </c>
      <c r="B70" s="9" t="s">
        <v>313</v>
      </c>
      <c r="C70" s="9" t="s">
        <v>314</v>
      </c>
      <c r="D70" s="9" t="s">
        <v>315</v>
      </c>
      <c r="E70" s="9" t="s">
        <v>43</v>
      </c>
      <c r="F70" s="9" t="s">
        <v>44</v>
      </c>
      <c r="G70" s="10" t="s">
        <v>316</v>
      </c>
      <c r="H70" s="10">
        <v>5</v>
      </c>
      <c r="I70" s="10" t="s">
        <v>332</v>
      </c>
      <c r="J70" s="10" t="s">
        <v>84</v>
      </c>
      <c r="K70" s="10" t="s">
        <v>333</v>
      </c>
      <c r="L70" s="10" t="s">
        <v>334</v>
      </c>
      <c r="M70" s="10" t="s">
        <v>335</v>
      </c>
      <c r="N70" s="9"/>
      <c r="O70" s="9" t="s">
        <v>51</v>
      </c>
      <c r="P70" s="9"/>
      <c r="Q70" s="10"/>
    </row>
    <row r="71" spans="1:17" ht="32" x14ac:dyDescent="0.4">
      <c r="A71" s="14">
        <v>5</v>
      </c>
      <c r="B71" s="9" t="s">
        <v>313</v>
      </c>
      <c r="C71" s="9" t="s">
        <v>314</v>
      </c>
      <c r="D71" s="9" t="s">
        <v>315</v>
      </c>
      <c r="E71" s="9" t="s">
        <v>43</v>
      </c>
      <c r="F71" s="9" t="s">
        <v>44</v>
      </c>
      <c r="G71" s="10" t="s">
        <v>316</v>
      </c>
      <c r="H71" s="10">
        <v>6</v>
      </c>
      <c r="I71" s="10" t="s">
        <v>336</v>
      </c>
      <c r="J71" s="10" t="s">
        <v>219</v>
      </c>
      <c r="K71" s="10" t="s">
        <v>220</v>
      </c>
      <c r="L71" s="10" t="s">
        <v>166</v>
      </c>
      <c r="M71" s="10" t="s">
        <v>337</v>
      </c>
      <c r="N71" s="9"/>
      <c r="O71" s="9" t="s">
        <v>51</v>
      </c>
      <c r="P71" s="9"/>
      <c r="Q71" s="10"/>
    </row>
    <row r="72" spans="1:17" ht="32" x14ac:dyDescent="0.4">
      <c r="A72" s="14">
        <v>5</v>
      </c>
      <c r="B72" s="9" t="s">
        <v>313</v>
      </c>
      <c r="C72" s="9" t="s">
        <v>314</v>
      </c>
      <c r="D72" s="9" t="s">
        <v>315</v>
      </c>
      <c r="E72" s="9" t="s">
        <v>43</v>
      </c>
      <c r="F72" s="9" t="s">
        <v>44</v>
      </c>
      <c r="G72" s="10" t="s">
        <v>316</v>
      </c>
      <c r="H72" s="10">
        <v>7</v>
      </c>
      <c r="I72" s="10" t="s">
        <v>338</v>
      </c>
      <c r="J72" s="10" t="s">
        <v>84</v>
      </c>
      <c r="K72" s="10" t="s">
        <v>85</v>
      </c>
      <c r="L72" s="10" t="s">
        <v>339</v>
      </c>
      <c r="M72" s="10" t="s">
        <v>340</v>
      </c>
      <c r="N72" s="9"/>
      <c r="O72" s="9" t="s">
        <v>51</v>
      </c>
      <c r="P72" s="9"/>
      <c r="Q72" s="10"/>
    </row>
    <row r="73" spans="1:17" ht="32" x14ac:dyDescent="0.4">
      <c r="A73" s="14">
        <v>5</v>
      </c>
      <c r="B73" s="9" t="s">
        <v>313</v>
      </c>
      <c r="C73" s="9" t="s">
        <v>314</v>
      </c>
      <c r="D73" s="9" t="s">
        <v>315</v>
      </c>
      <c r="E73" s="9" t="s">
        <v>43</v>
      </c>
      <c r="F73" s="9" t="s">
        <v>44</v>
      </c>
      <c r="G73" s="10" t="s">
        <v>316</v>
      </c>
      <c r="H73" s="10">
        <v>8</v>
      </c>
      <c r="I73" s="10" t="s">
        <v>341</v>
      </c>
      <c r="J73" s="10" t="s">
        <v>342</v>
      </c>
      <c r="K73" s="10" t="s">
        <v>343</v>
      </c>
      <c r="L73" s="10" t="s">
        <v>344</v>
      </c>
      <c r="M73" s="10" t="s">
        <v>345</v>
      </c>
      <c r="N73" s="9"/>
      <c r="O73" s="9" t="s">
        <v>51</v>
      </c>
      <c r="P73" s="9"/>
      <c r="Q73" s="10"/>
    </row>
    <row r="74" spans="1:17" ht="32" x14ac:dyDescent="0.4">
      <c r="A74" s="14">
        <v>5</v>
      </c>
      <c r="B74" s="9" t="s">
        <v>313</v>
      </c>
      <c r="C74" s="9" t="s">
        <v>314</v>
      </c>
      <c r="D74" s="9" t="s">
        <v>315</v>
      </c>
      <c r="E74" s="9" t="s">
        <v>43</v>
      </c>
      <c r="F74" s="9" t="s">
        <v>44</v>
      </c>
      <c r="G74" s="10" t="s">
        <v>316</v>
      </c>
      <c r="H74" s="10">
        <v>9</v>
      </c>
      <c r="I74" s="10" t="s">
        <v>346</v>
      </c>
      <c r="J74" s="10" t="s">
        <v>347</v>
      </c>
      <c r="K74" s="10" t="s">
        <v>348</v>
      </c>
      <c r="L74" s="10" t="s">
        <v>349</v>
      </c>
      <c r="M74" s="10" t="s">
        <v>350</v>
      </c>
      <c r="N74" s="9"/>
      <c r="O74" s="9" t="s">
        <v>51</v>
      </c>
      <c r="P74" s="9"/>
      <c r="Q74" s="10"/>
    </row>
    <row r="75" spans="1:17" ht="32" x14ac:dyDescent="0.4">
      <c r="A75" s="14">
        <v>5</v>
      </c>
      <c r="B75" s="9" t="s">
        <v>313</v>
      </c>
      <c r="C75" s="9" t="s">
        <v>314</v>
      </c>
      <c r="D75" s="9" t="s">
        <v>315</v>
      </c>
      <c r="E75" s="9" t="s">
        <v>43</v>
      </c>
      <c r="F75" s="9" t="s">
        <v>44</v>
      </c>
      <c r="G75" s="10" t="s">
        <v>316</v>
      </c>
      <c r="H75" s="10">
        <v>10</v>
      </c>
      <c r="I75" s="10" t="s">
        <v>351</v>
      </c>
      <c r="J75" s="10" t="s">
        <v>245</v>
      </c>
      <c r="K75" s="10" t="s">
        <v>254</v>
      </c>
      <c r="L75" s="10" t="s">
        <v>352</v>
      </c>
      <c r="M75" s="10" t="s">
        <v>353</v>
      </c>
      <c r="N75" s="9"/>
      <c r="O75" s="9" t="s">
        <v>51</v>
      </c>
      <c r="P75" s="9"/>
      <c r="Q75" s="10"/>
    </row>
    <row r="76" spans="1:17" ht="32" x14ac:dyDescent="0.4">
      <c r="A76" s="14">
        <v>5</v>
      </c>
      <c r="B76" s="9" t="s">
        <v>313</v>
      </c>
      <c r="C76" s="9" t="s">
        <v>354</v>
      </c>
      <c r="D76" s="9" t="s">
        <v>355</v>
      </c>
      <c r="E76" s="9" t="s">
        <v>356</v>
      </c>
      <c r="F76" s="9" t="s">
        <v>101</v>
      </c>
      <c r="G76" s="10" t="s">
        <v>357</v>
      </c>
      <c r="H76" s="10">
        <v>1</v>
      </c>
      <c r="I76" s="10" t="s">
        <v>358</v>
      </c>
      <c r="J76" s="10" t="s">
        <v>318</v>
      </c>
      <c r="K76" s="10" t="s">
        <v>319</v>
      </c>
      <c r="L76" s="10" t="s">
        <v>359</v>
      </c>
      <c r="M76" s="10" t="s">
        <v>360</v>
      </c>
      <c r="N76" s="9"/>
      <c r="O76" s="9" t="s">
        <v>51</v>
      </c>
      <c r="P76" s="9"/>
      <c r="Q76" s="10"/>
    </row>
    <row r="77" spans="1:17" ht="32" x14ac:dyDescent="0.4">
      <c r="A77" s="14">
        <v>5</v>
      </c>
      <c r="B77" s="9" t="s">
        <v>313</v>
      </c>
      <c r="C77" s="9" t="s">
        <v>354</v>
      </c>
      <c r="D77" s="9" t="s">
        <v>355</v>
      </c>
      <c r="E77" s="9" t="s">
        <v>356</v>
      </c>
      <c r="F77" s="9" t="s">
        <v>101</v>
      </c>
      <c r="G77" s="10" t="s">
        <v>357</v>
      </c>
      <c r="H77" s="10">
        <v>2</v>
      </c>
      <c r="I77" s="10" t="s">
        <v>361</v>
      </c>
      <c r="J77" s="10" t="s">
        <v>219</v>
      </c>
      <c r="K77" s="10" t="s">
        <v>279</v>
      </c>
      <c r="L77" s="10" t="s">
        <v>362</v>
      </c>
      <c r="M77" s="10" t="s">
        <v>363</v>
      </c>
      <c r="N77" s="9"/>
      <c r="O77" s="9" t="s">
        <v>51</v>
      </c>
      <c r="P77" s="9"/>
      <c r="Q77" s="10"/>
    </row>
    <row r="78" spans="1:17" ht="32" x14ac:dyDescent="0.4">
      <c r="A78" s="14">
        <v>5</v>
      </c>
      <c r="B78" s="9" t="s">
        <v>313</v>
      </c>
      <c r="C78" s="9" t="s">
        <v>354</v>
      </c>
      <c r="D78" s="9" t="s">
        <v>355</v>
      </c>
      <c r="E78" s="9" t="s">
        <v>356</v>
      </c>
      <c r="F78" s="9" t="s">
        <v>101</v>
      </c>
      <c r="G78" s="10" t="s">
        <v>357</v>
      </c>
      <c r="H78" s="10">
        <v>3</v>
      </c>
      <c r="I78" s="10" t="s">
        <v>364</v>
      </c>
      <c r="J78" s="10" t="s">
        <v>219</v>
      </c>
      <c r="K78" s="10" t="s">
        <v>279</v>
      </c>
      <c r="L78" s="10" t="s">
        <v>365</v>
      </c>
      <c r="M78" s="10" t="s">
        <v>366</v>
      </c>
      <c r="N78" s="9"/>
      <c r="O78" s="9" t="s">
        <v>51</v>
      </c>
      <c r="P78" s="9"/>
      <c r="Q78" s="10"/>
    </row>
    <row r="79" spans="1:17" ht="32" x14ac:dyDescent="0.4">
      <c r="A79" s="14">
        <v>5</v>
      </c>
      <c r="B79" s="9" t="s">
        <v>313</v>
      </c>
      <c r="C79" s="9" t="s">
        <v>354</v>
      </c>
      <c r="D79" s="9" t="s">
        <v>355</v>
      </c>
      <c r="E79" s="9" t="s">
        <v>356</v>
      </c>
      <c r="F79" s="9" t="s">
        <v>101</v>
      </c>
      <c r="G79" s="10" t="s">
        <v>357</v>
      </c>
      <c r="H79" s="10">
        <v>4</v>
      </c>
      <c r="I79" s="10" t="s">
        <v>367</v>
      </c>
      <c r="J79" s="10" t="s">
        <v>368</v>
      </c>
      <c r="K79" s="10" t="s">
        <v>90</v>
      </c>
      <c r="L79" s="10" t="s">
        <v>369</v>
      </c>
      <c r="M79" s="10" t="s">
        <v>370</v>
      </c>
      <c r="N79" s="9"/>
      <c r="O79" s="9" t="s">
        <v>51</v>
      </c>
      <c r="P79" s="9"/>
      <c r="Q79" s="10"/>
    </row>
    <row r="80" spans="1:17" ht="32" x14ac:dyDescent="0.4">
      <c r="A80" s="14">
        <v>5</v>
      </c>
      <c r="B80" s="9" t="s">
        <v>313</v>
      </c>
      <c r="C80" s="9" t="s">
        <v>354</v>
      </c>
      <c r="D80" s="9" t="s">
        <v>355</v>
      </c>
      <c r="E80" s="9" t="s">
        <v>356</v>
      </c>
      <c r="F80" s="9" t="s">
        <v>101</v>
      </c>
      <c r="G80" s="10" t="s">
        <v>357</v>
      </c>
      <c r="H80" s="10">
        <v>5</v>
      </c>
      <c r="I80" s="10" t="s">
        <v>371</v>
      </c>
      <c r="J80" s="10" t="s">
        <v>372</v>
      </c>
      <c r="K80" s="10" t="s">
        <v>373</v>
      </c>
      <c r="L80" s="10" t="s">
        <v>374</v>
      </c>
      <c r="M80" s="10" t="s">
        <v>375</v>
      </c>
      <c r="N80" s="9"/>
      <c r="O80" s="9" t="s">
        <v>51</v>
      </c>
      <c r="P80" s="9"/>
      <c r="Q80" s="10"/>
    </row>
    <row r="81" spans="1:17" ht="32" x14ac:dyDescent="0.4">
      <c r="A81" s="14">
        <v>6</v>
      </c>
      <c r="B81" s="9" t="s">
        <v>376</v>
      </c>
      <c r="C81" s="9" t="s">
        <v>377</v>
      </c>
      <c r="D81" s="9" t="s">
        <v>378</v>
      </c>
      <c r="E81" s="9" t="s">
        <v>43</v>
      </c>
      <c r="F81" s="9" t="s">
        <v>101</v>
      </c>
      <c r="G81" s="10" t="s">
        <v>379</v>
      </c>
      <c r="H81" s="10">
        <v>1</v>
      </c>
      <c r="I81" s="10" t="s">
        <v>380</v>
      </c>
      <c r="J81" s="10" t="s">
        <v>283</v>
      </c>
      <c r="K81" s="10" t="s">
        <v>381</v>
      </c>
      <c r="L81" s="10" t="s">
        <v>382</v>
      </c>
      <c r="M81" s="10" t="s">
        <v>383</v>
      </c>
      <c r="N81" s="9"/>
      <c r="O81" s="9" t="s">
        <v>51</v>
      </c>
      <c r="P81" s="9"/>
      <c r="Q81" s="10"/>
    </row>
    <row r="82" spans="1:17" ht="32" x14ac:dyDescent="0.4">
      <c r="A82" s="14">
        <v>6</v>
      </c>
      <c r="B82" s="9" t="s">
        <v>376</v>
      </c>
      <c r="C82" s="9" t="s">
        <v>377</v>
      </c>
      <c r="D82" s="9" t="s">
        <v>378</v>
      </c>
      <c r="E82" s="9" t="s">
        <v>43</v>
      </c>
      <c r="F82" s="9" t="s">
        <v>101</v>
      </c>
      <c r="G82" s="10" t="s">
        <v>379</v>
      </c>
      <c r="H82" s="10">
        <v>2</v>
      </c>
      <c r="I82" s="10" t="s">
        <v>384</v>
      </c>
      <c r="J82" s="10" t="s">
        <v>283</v>
      </c>
      <c r="K82" s="10" t="s">
        <v>385</v>
      </c>
      <c r="L82" s="10" t="s">
        <v>386</v>
      </c>
      <c r="M82" s="10" t="s">
        <v>387</v>
      </c>
      <c r="N82" s="9"/>
      <c r="O82" s="9" t="s">
        <v>51</v>
      </c>
      <c r="P82" s="9"/>
      <c r="Q82" s="10"/>
    </row>
    <row r="83" spans="1:17" ht="32" x14ac:dyDescent="0.4">
      <c r="A83" s="14">
        <v>6</v>
      </c>
      <c r="B83" s="9" t="s">
        <v>376</v>
      </c>
      <c r="C83" s="9" t="s">
        <v>377</v>
      </c>
      <c r="D83" s="9" t="s">
        <v>378</v>
      </c>
      <c r="E83" s="9" t="s">
        <v>43</v>
      </c>
      <c r="F83" s="9" t="s">
        <v>101</v>
      </c>
      <c r="G83" s="10" t="s">
        <v>379</v>
      </c>
      <c r="H83" s="10">
        <v>3</v>
      </c>
      <c r="I83" s="10" t="s">
        <v>388</v>
      </c>
      <c r="J83" s="10" t="s">
        <v>389</v>
      </c>
      <c r="K83" s="10" t="s">
        <v>279</v>
      </c>
      <c r="L83" s="10" t="s">
        <v>390</v>
      </c>
      <c r="M83" s="10" t="s">
        <v>391</v>
      </c>
      <c r="N83" s="9"/>
      <c r="O83" s="9" t="s">
        <v>51</v>
      </c>
      <c r="P83" s="9"/>
      <c r="Q83" s="10"/>
    </row>
    <row r="84" spans="1:17" ht="32" x14ac:dyDescent="0.4">
      <c r="A84" s="14">
        <v>6</v>
      </c>
      <c r="B84" s="9" t="s">
        <v>376</v>
      </c>
      <c r="C84" s="9" t="s">
        <v>377</v>
      </c>
      <c r="D84" s="9" t="s">
        <v>378</v>
      </c>
      <c r="E84" s="9" t="s">
        <v>43</v>
      </c>
      <c r="F84" s="9" t="s">
        <v>101</v>
      </c>
      <c r="G84" s="10" t="s">
        <v>379</v>
      </c>
      <c r="H84" s="10">
        <v>4</v>
      </c>
      <c r="I84" s="10" t="s">
        <v>392</v>
      </c>
      <c r="J84" s="10" t="s">
        <v>372</v>
      </c>
      <c r="K84" s="10" t="s">
        <v>90</v>
      </c>
      <c r="L84" s="10" t="s">
        <v>393</v>
      </c>
      <c r="M84" s="10" t="s">
        <v>394</v>
      </c>
      <c r="N84" s="9"/>
      <c r="O84" s="9" t="s">
        <v>51</v>
      </c>
      <c r="P84" s="9"/>
      <c r="Q84" s="10"/>
    </row>
    <row r="85" spans="1:17" ht="32" x14ac:dyDescent="0.4">
      <c r="A85" s="14">
        <v>6</v>
      </c>
      <c r="B85" s="9" t="s">
        <v>376</v>
      </c>
      <c r="C85" s="9" t="s">
        <v>377</v>
      </c>
      <c r="D85" s="9" t="s">
        <v>378</v>
      </c>
      <c r="E85" s="9" t="s">
        <v>43</v>
      </c>
      <c r="F85" s="9" t="s">
        <v>101</v>
      </c>
      <c r="G85" s="10" t="s">
        <v>379</v>
      </c>
      <c r="H85" s="10">
        <v>5</v>
      </c>
      <c r="I85" s="10" t="s">
        <v>395</v>
      </c>
      <c r="J85" s="10" t="s">
        <v>84</v>
      </c>
      <c r="K85" s="10" t="s">
        <v>373</v>
      </c>
      <c r="L85" s="10" t="s">
        <v>396</v>
      </c>
      <c r="M85" s="10" t="s">
        <v>397</v>
      </c>
      <c r="N85" s="9"/>
      <c r="O85" s="9" t="s">
        <v>51</v>
      </c>
      <c r="P85" s="9"/>
      <c r="Q85" s="10"/>
    </row>
    <row r="86" spans="1:17" ht="32" x14ac:dyDescent="0.4">
      <c r="A86" s="14">
        <v>6</v>
      </c>
      <c r="B86" s="9" t="s">
        <v>376</v>
      </c>
      <c r="C86" s="9" t="s">
        <v>377</v>
      </c>
      <c r="D86" s="9" t="s">
        <v>378</v>
      </c>
      <c r="E86" s="9" t="s">
        <v>43</v>
      </c>
      <c r="F86" s="9" t="s">
        <v>101</v>
      </c>
      <c r="G86" s="10" t="s">
        <v>379</v>
      </c>
      <c r="H86" s="10">
        <v>6</v>
      </c>
      <c r="I86" s="10" t="s">
        <v>398</v>
      </c>
      <c r="J86" s="10" t="s">
        <v>283</v>
      </c>
      <c r="K86" s="10" t="s">
        <v>381</v>
      </c>
      <c r="L86" s="10" t="s">
        <v>399</v>
      </c>
      <c r="M86" s="10" t="s">
        <v>400</v>
      </c>
      <c r="N86" s="9"/>
      <c r="O86" s="9" t="s">
        <v>51</v>
      </c>
      <c r="P86" s="9"/>
      <c r="Q86" s="10"/>
    </row>
    <row r="87" spans="1:17" ht="32" x14ac:dyDescent="0.4">
      <c r="A87" s="14">
        <v>6</v>
      </c>
      <c r="B87" s="9" t="s">
        <v>376</v>
      </c>
      <c r="C87" s="9" t="s">
        <v>377</v>
      </c>
      <c r="D87" s="9" t="s">
        <v>378</v>
      </c>
      <c r="E87" s="9" t="s">
        <v>43</v>
      </c>
      <c r="F87" s="9" t="s">
        <v>101</v>
      </c>
      <c r="G87" s="10" t="s">
        <v>379</v>
      </c>
      <c r="H87" s="10">
        <v>7</v>
      </c>
      <c r="I87" s="10" t="s">
        <v>401</v>
      </c>
      <c r="J87" s="10" t="s">
        <v>283</v>
      </c>
      <c r="K87" s="10" t="s">
        <v>402</v>
      </c>
      <c r="L87" s="10" t="s">
        <v>403</v>
      </c>
      <c r="M87" s="10" t="s">
        <v>404</v>
      </c>
      <c r="N87" s="9"/>
      <c r="O87" s="9" t="s">
        <v>51</v>
      </c>
      <c r="P87" s="9"/>
      <c r="Q87" s="10"/>
    </row>
    <row r="88" spans="1:17" ht="32" x14ac:dyDescent="0.4">
      <c r="A88" s="14">
        <v>6</v>
      </c>
      <c r="B88" s="9" t="s">
        <v>376</v>
      </c>
      <c r="C88" s="9" t="s">
        <v>377</v>
      </c>
      <c r="D88" s="9" t="s">
        <v>378</v>
      </c>
      <c r="E88" s="9" t="s">
        <v>43</v>
      </c>
      <c r="F88" s="9" t="s">
        <v>101</v>
      </c>
      <c r="G88" s="10" t="s">
        <v>379</v>
      </c>
      <c r="H88" s="10">
        <v>8</v>
      </c>
      <c r="I88" s="10" t="s">
        <v>405</v>
      </c>
      <c r="J88" s="10" t="s">
        <v>406</v>
      </c>
      <c r="K88" s="10" t="s">
        <v>90</v>
      </c>
      <c r="L88" s="10" t="s">
        <v>407</v>
      </c>
      <c r="M88" s="10" t="s">
        <v>408</v>
      </c>
      <c r="N88" s="9"/>
      <c r="O88" s="9" t="s">
        <v>51</v>
      </c>
      <c r="P88" s="9"/>
      <c r="Q88" s="10"/>
    </row>
    <row r="89" spans="1:17" ht="32" x14ac:dyDescent="0.4">
      <c r="A89" s="14">
        <v>6</v>
      </c>
      <c r="B89" s="9" t="s">
        <v>376</v>
      </c>
      <c r="C89" s="9" t="s">
        <v>409</v>
      </c>
      <c r="D89" s="9" t="s">
        <v>410</v>
      </c>
      <c r="E89" s="9" t="s">
        <v>411</v>
      </c>
      <c r="F89" s="9" t="s">
        <v>101</v>
      </c>
      <c r="G89" s="10" t="s">
        <v>412</v>
      </c>
      <c r="H89" s="10">
        <v>1</v>
      </c>
      <c r="I89" s="10" t="s">
        <v>413</v>
      </c>
      <c r="J89" s="10" t="s">
        <v>283</v>
      </c>
      <c r="K89" s="10" t="s">
        <v>385</v>
      </c>
      <c r="L89" s="10" t="s">
        <v>414</v>
      </c>
      <c r="M89" s="10" t="s">
        <v>415</v>
      </c>
      <c r="N89" s="9"/>
      <c r="O89" s="9" t="s">
        <v>51</v>
      </c>
      <c r="P89" s="9"/>
      <c r="Q89" s="10"/>
    </row>
    <row r="90" spans="1:17" ht="32" x14ac:dyDescent="0.4">
      <c r="A90" s="14">
        <v>6</v>
      </c>
      <c r="B90" s="9" t="s">
        <v>376</v>
      </c>
      <c r="C90" s="9" t="s">
        <v>409</v>
      </c>
      <c r="D90" s="9" t="s">
        <v>410</v>
      </c>
      <c r="E90" s="9" t="s">
        <v>411</v>
      </c>
      <c r="F90" s="9" t="s">
        <v>101</v>
      </c>
      <c r="G90" s="10" t="s">
        <v>412</v>
      </c>
      <c r="H90" s="10">
        <v>2</v>
      </c>
      <c r="I90" s="10" t="s">
        <v>416</v>
      </c>
      <c r="J90" s="10" t="s">
        <v>94</v>
      </c>
      <c r="K90" s="10" t="s">
        <v>279</v>
      </c>
      <c r="L90" s="10" t="s">
        <v>417</v>
      </c>
      <c r="M90" s="10" t="s">
        <v>418</v>
      </c>
      <c r="N90" s="9"/>
      <c r="O90" s="9" t="s">
        <v>51</v>
      </c>
      <c r="P90" s="9"/>
      <c r="Q90" s="10"/>
    </row>
    <row r="91" spans="1:17" ht="32" x14ac:dyDescent="0.4">
      <c r="A91" s="14">
        <v>6</v>
      </c>
      <c r="B91" s="9" t="s">
        <v>376</v>
      </c>
      <c r="C91" s="9" t="s">
        <v>409</v>
      </c>
      <c r="D91" s="9" t="s">
        <v>410</v>
      </c>
      <c r="E91" s="9" t="s">
        <v>411</v>
      </c>
      <c r="F91" s="9" t="s">
        <v>101</v>
      </c>
      <c r="G91" s="10" t="s">
        <v>412</v>
      </c>
      <c r="H91" s="10">
        <v>3</v>
      </c>
      <c r="I91" s="10" t="s">
        <v>419</v>
      </c>
      <c r="J91" s="10" t="s">
        <v>283</v>
      </c>
      <c r="K91" s="10" t="s">
        <v>385</v>
      </c>
      <c r="L91" s="10" t="s">
        <v>420</v>
      </c>
      <c r="M91" s="10" t="s">
        <v>421</v>
      </c>
      <c r="N91" s="9"/>
      <c r="O91" s="9" t="s">
        <v>51</v>
      </c>
      <c r="P91" s="9"/>
      <c r="Q91" s="10"/>
    </row>
    <row r="92" spans="1:17" ht="32" x14ac:dyDescent="0.4">
      <c r="A92" s="14">
        <v>6</v>
      </c>
      <c r="B92" s="9" t="s">
        <v>376</v>
      </c>
      <c r="C92" s="9" t="s">
        <v>409</v>
      </c>
      <c r="D92" s="9" t="s">
        <v>410</v>
      </c>
      <c r="E92" s="9" t="s">
        <v>411</v>
      </c>
      <c r="F92" s="9" t="s">
        <v>101</v>
      </c>
      <c r="G92" s="10" t="s">
        <v>412</v>
      </c>
      <c r="H92" s="10">
        <v>4</v>
      </c>
      <c r="I92" s="10" t="s">
        <v>422</v>
      </c>
      <c r="J92" s="10" t="s">
        <v>283</v>
      </c>
      <c r="K92" s="10" t="s">
        <v>385</v>
      </c>
      <c r="L92" s="10" t="s">
        <v>423</v>
      </c>
      <c r="M92" s="10" t="s">
        <v>424</v>
      </c>
      <c r="N92" s="9"/>
      <c r="O92" s="9" t="s">
        <v>51</v>
      </c>
      <c r="P92" s="9"/>
      <c r="Q92" s="10"/>
    </row>
    <row r="93" spans="1:17" ht="32" x14ac:dyDescent="0.4">
      <c r="A93" s="14">
        <v>6</v>
      </c>
      <c r="B93" s="9" t="s">
        <v>376</v>
      </c>
      <c r="C93" s="9" t="s">
        <v>409</v>
      </c>
      <c r="D93" s="9" t="s">
        <v>410</v>
      </c>
      <c r="E93" s="9" t="s">
        <v>411</v>
      </c>
      <c r="F93" s="9" t="s">
        <v>101</v>
      </c>
      <c r="G93" s="10" t="s">
        <v>412</v>
      </c>
      <c r="H93" s="10">
        <v>5</v>
      </c>
      <c r="I93" s="10" t="s">
        <v>425</v>
      </c>
      <c r="J93" s="10" t="s">
        <v>406</v>
      </c>
      <c r="K93" s="10" t="s">
        <v>373</v>
      </c>
      <c r="L93" s="10" t="s">
        <v>426</v>
      </c>
      <c r="M93" s="10" t="s">
        <v>427</v>
      </c>
      <c r="N93" s="9"/>
      <c r="O93" s="9" t="s">
        <v>51</v>
      </c>
      <c r="P93" s="9"/>
      <c r="Q93" s="10"/>
    </row>
    <row r="94" spans="1:17" ht="32" x14ac:dyDescent="0.4">
      <c r="A94" s="14">
        <v>7</v>
      </c>
      <c r="B94" s="9" t="s">
        <v>428</v>
      </c>
      <c r="C94" s="9" t="s">
        <v>429</v>
      </c>
      <c r="D94" s="9" t="s">
        <v>430</v>
      </c>
      <c r="E94" s="9" t="s">
        <v>43</v>
      </c>
      <c r="F94" s="9" t="s">
        <v>44</v>
      </c>
      <c r="G94" s="10" t="s">
        <v>431</v>
      </c>
      <c r="H94" s="10">
        <v>1</v>
      </c>
      <c r="I94" s="10" t="s">
        <v>432</v>
      </c>
      <c r="J94" s="10" t="s">
        <v>433</v>
      </c>
      <c r="K94" s="10" t="s">
        <v>19</v>
      </c>
      <c r="L94" s="10" t="s">
        <v>434</v>
      </c>
      <c r="M94" s="10" t="s">
        <v>435</v>
      </c>
      <c r="N94" s="9"/>
      <c r="O94" s="9" t="s">
        <v>51</v>
      </c>
      <c r="P94" s="9"/>
      <c r="Q94" s="10"/>
    </row>
    <row r="95" spans="1:17" ht="32" x14ac:dyDescent="0.4">
      <c r="A95" s="14">
        <v>7</v>
      </c>
      <c r="B95" s="9" t="s">
        <v>428</v>
      </c>
      <c r="C95" s="9" t="s">
        <v>429</v>
      </c>
      <c r="D95" s="9" t="s">
        <v>430</v>
      </c>
      <c r="E95" s="9" t="s">
        <v>43</v>
      </c>
      <c r="F95" s="9" t="s">
        <v>44</v>
      </c>
      <c r="G95" s="10" t="s">
        <v>431</v>
      </c>
      <c r="H95" s="10">
        <v>2</v>
      </c>
      <c r="I95" s="10" t="s">
        <v>436</v>
      </c>
      <c r="J95" s="10" t="s">
        <v>433</v>
      </c>
      <c r="K95" s="10" t="s">
        <v>437</v>
      </c>
      <c r="L95" s="10" t="s">
        <v>438</v>
      </c>
      <c r="M95" s="10" t="s">
        <v>439</v>
      </c>
      <c r="N95" s="9"/>
      <c r="O95" s="9" t="s">
        <v>51</v>
      </c>
      <c r="P95" s="9"/>
      <c r="Q95" s="10"/>
    </row>
    <row r="96" spans="1:17" ht="32" x14ac:dyDescent="0.4">
      <c r="A96" s="14">
        <v>7</v>
      </c>
      <c r="B96" s="9" t="s">
        <v>428</v>
      </c>
      <c r="C96" s="9" t="s">
        <v>429</v>
      </c>
      <c r="D96" s="9" t="s">
        <v>430</v>
      </c>
      <c r="E96" s="9" t="s">
        <v>43</v>
      </c>
      <c r="F96" s="9" t="s">
        <v>44</v>
      </c>
      <c r="G96" s="10" t="s">
        <v>431</v>
      </c>
      <c r="H96" s="10">
        <v>3</v>
      </c>
      <c r="I96" s="10" t="s">
        <v>440</v>
      </c>
      <c r="J96" s="10" t="s">
        <v>433</v>
      </c>
      <c r="K96" s="10" t="s">
        <v>441</v>
      </c>
      <c r="L96" s="10" t="s">
        <v>442</v>
      </c>
      <c r="M96" s="10" t="s">
        <v>443</v>
      </c>
      <c r="N96" s="9"/>
      <c r="O96" s="9" t="s">
        <v>51</v>
      </c>
      <c r="P96" s="9"/>
      <c r="Q96" s="10"/>
    </row>
    <row r="97" spans="1:17" ht="32" x14ac:dyDescent="0.4">
      <c r="A97" s="14">
        <v>7</v>
      </c>
      <c r="B97" s="9" t="s">
        <v>428</v>
      </c>
      <c r="C97" s="9" t="s">
        <v>429</v>
      </c>
      <c r="D97" s="9" t="s">
        <v>430</v>
      </c>
      <c r="E97" s="9" t="s">
        <v>43</v>
      </c>
      <c r="F97" s="9" t="s">
        <v>44</v>
      </c>
      <c r="G97" s="10" t="s">
        <v>431</v>
      </c>
      <c r="H97" s="10">
        <v>4</v>
      </c>
      <c r="I97" s="10" t="s">
        <v>444</v>
      </c>
      <c r="J97" s="10" t="s">
        <v>75</v>
      </c>
      <c r="K97" s="10" t="s">
        <v>445</v>
      </c>
      <c r="L97" s="10" t="s">
        <v>446</v>
      </c>
      <c r="M97" s="10" t="s">
        <v>447</v>
      </c>
      <c r="N97" s="9"/>
      <c r="O97" s="9" t="s">
        <v>51</v>
      </c>
      <c r="P97" s="9"/>
      <c r="Q97" s="10"/>
    </row>
    <row r="98" spans="1:17" ht="32" x14ac:dyDescent="0.4">
      <c r="A98" s="14">
        <v>7</v>
      </c>
      <c r="B98" s="9" t="s">
        <v>428</v>
      </c>
      <c r="C98" s="9" t="s">
        <v>429</v>
      </c>
      <c r="D98" s="9" t="s">
        <v>430</v>
      </c>
      <c r="E98" s="9" t="s">
        <v>43</v>
      </c>
      <c r="F98" s="9" t="s">
        <v>44</v>
      </c>
      <c r="G98" s="10" t="s">
        <v>431</v>
      </c>
      <c r="H98" s="10">
        <v>5</v>
      </c>
      <c r="I98" s="10" t="s">
        <v>448</v>
      </c>
      <c r="J98" s="10" t="s">
        <v>449</v>
      </c>
      <c r="K98" s="10" t="s">
        <v>90</v>
      </c>
      <c r="L98" s="10" t="s">
        <v>450</v>
      </c>
      <c r="M98" s="10" t="s">
        <v>451</v>
      </c>
      <c r="N98" s="9"/>
      <c r="O98" s="9" t="s">
        <v>51</v>
      </c>
      <c r="P98" s="9"/>
      <c r="Q98" s="10"/>
    </row>
    <row r="99" spans="1:17" ht="32" x14ac:dyDescent="0.4">
      <c r="A99" s="14">
        <v>7</v>
      </c>
      <c r="B99" s="9" t="s">
        <v>428</v>
      </c>
      <c r="C99" s="9" t="s">
        <v>429</v>
      </c>
      <c r="D99" s="9" t="s">
        <v>430</v>
      </c>
      <c r="E99" s="9" t="s">
        <v>43</v>
      </c>
      <c r="F99" s="9" t="s">
        <v>44</v>
      </c>
      <c r="G99" s="10" t="s">
        <v>431</v>
      </c>
      <c r="H99" s="10">
        <v>6</v>
      </c>
      <c r="I99" s="10" t="s">
        <v>452</v>
      </c>
      <c r="J99" s="10" t="s">
        <v>84</v>
      </c>
      <c r="K99" s="10" t="s">
        <v>453</v>
      </c>
      <c r="L99" s="10" t="s">
        <v>396</v>
      </c>
      <c r="M99" s="10" t="s">
        <v>454</v>
      </c>
      <c r="N99" s="9"/>
      <c r="O99" s="9" t="s">
        <v>51</v>
      </c>
      <c r="P99" s="9"/>
      <c r="Q99" s="10"/>
    </row>
    <row r="100" spans="1:17" ht="32" x14ac:dyDescent="0.4">
      <c r="A100" s="14">
        <v>7</v>
      </c>
      <c r="B100" s="9" t="s">
        <v>428</v>
      </c>
      <c r="C100" s="9" t="s">
        <v>429</v>
      </c>
      <c r="D100" s="9" t="s">
        <v>430</v>
      </c>
      <c r="E100" s="9" t="s">
        <v>43</v>
      </c>
      <c r="F100" s="9" t="s">
        <v>44</v>
      </c>
      <c r="G100" s="10" t="s">
        <v>431</v>
      </c>
      <c r="H100" s="10">
        <v>7</v>
      </c>
      <c r="I100" s="10" t="s">
        <v>455</v>
      </c>
      <c r="J100" s="10" t="s">
        <v>456</v>
      </c>
      <c r="K100" s="10" t="s">
        <v>457</v>
      </c>
      <c r="L100" s="10" t="s">
        <v>458</v>
      </c>
      <c r="M100" s="10" t="s">
        <v>459</v>
      </c>
      <c r="N100" s="9"/>
      <c r="O100" s="9" t="s">
        <v>51</v>
      </c>
      <c r="P100" s="9"/>
      <c r="Q100" s="10"/>
    </row>
    <row r="101" spans="1:17" ht="32" x14ac:dyDescent="0.4">
      <c r="A101" s="14">
        <v>7</v>
      </c>
      <c r="B101" s="9" t="s">
        <v>428</v>
      </c>
      <c r="C101" s="9" t="s">
        <v>429</v>
      </c>
      <c r="D101" s="9" t="s">
        <v>430</v>
      </c>
      <c r="E101" s="9" t="s">
        <v>43</v>
      </c>
      <c r="F101" s="9" t="s">
        <v>44</v>
      </c>
      <c r="G101" s="10" t="s">
        <v>431</v>
      </c>
      <c r="H101" s="10">
        <v>8</v>
      </c>
      <c r="I101" s="10" t="s">
        <v>460</v>
      </c>
      <c r="J101" s="10" t="s">
        <v>89</v>
      </c>
      <c r="K101" s="10" t="s">
        <v>90</v>
      </c>
      <c r="L101" s="10" t="s">
        <v>461</v>
      </c>
      <c r="M101" s="10" t="s">
        <v>462</v>
      </c>
      <c r="N101" s="9"/>
      <c r="O101" s="9" t="s">
        <v>51</v>
      </c>
      <c r="P101" s="9"/>
      <c r="Q101" s="10"/>
    </row>
    <row r="102" spans="1:17" ht="32" x14ac:dyDescent="0.4">
      <c r="A102" s="14">
        <v>7</v>
      </c>
      <c r="B102" s="9" t="s">
        <v>428</v>
      </c>
      <c r="C102" s="9" t="s">
        <v>463</v>
      </c>
      <c r="D102" s="9" t="s">
        <v>464</v>
      </c>
      <c r="E102" s="9" t="s">
        <v>100</v>
      </c>
      <c r="F102" s="9" t="s">
        <v>44</v>
      </c>
      <c r="G102" s="10" t="s">
        <v>465</v>
      </c>
      <c r="H102" s="10">
        <v>1</v>
      </c>
      <c r="I102" s="10" t="s">
        <v>466</v>
      </c>
      <c r="J102" s="10" t="s">
        <v>433</v>
      </c>
      <c r="K102" s="10" t="s">
        <v>437</v>
      </c>
      <c r="L102" s="10" t="s">
        <v>467</v>
      </c>
      <c r="M102" s="10" t="s">
        <v>468</v>
      </c>
      <c r="N102" s="9"/>
      <c r="O102" s="9" t="s">
        <v>51</v>
      </c>
      <c r="P102" s="9"/>
      <c r="Q102" s="10"/>
    </row>
    <row r="103" spans="1:17" ht="32" x14ac:dyDescent="0.4">
      <c r="A103" s="14">
        <v>7</v>
      </c>
      <c r="B103" s="9" t="s">
        <v>428</v>
      </c>
      <c r="C103" s="9" t="s">
        <v>463</v>
      </c>
      <c r="D103" s="9" t="s">
        <v>464</v>
      </c>
      <c r="E103" s="9" t="s">
        <v>100</v>
      </c>
      <c r="F103" s="9" t="s">
        <v>44</v>
      </c>
      <c r="G103" s="10" t="s">
        <v>465</v>
      </c>
      <c r="H103" s="10">
        <v>2</v>
      </c>
      <c r="I103" s="10" t="s">
        <v>469</v>
      </c>
      <c r="J103" s="10" t="s">
        <v>433</v>
      </c>
      <c r="K103" s="10" t="s">
        <v>437</v>
      </c>
      <c r="L103" s="10" t="s">
        <v>470</v>
      </c>
      <c r="M103" s="10" t="s">
        <v>471</v>
      </c>
      <c r="N103" s="9"/>
      <c r="O103" s="9" t="s">
        <v>51</v>
      </c>
      <c r="P103" s="9"/>
      <c r="Q103" s="10"/>
    </row>
    <row r="104" spans="1:17" ht="32" x14ac:dyDescent="0.4">
      <c r="A104" s="14">
        <v>7</v>
      </c>
      <c r="B104" s="9" t="s">
        <v>428</v>
      </c>
      <c r="C104" s="9" t="s">
        <v>463</v>
      </c>
      <c r="D104" s="9" t="s">
        <v>464</v>
      </c>
      <c r="E104" s="9" t="s">
        <v>100</v>
      </c>
      <c r="F104" s="9" t="s">
        <v>44</v>
      </c>
      <c r="G104" s="10" t="s">
        <v>465</v>
      </c>
      <c r="H104" s="10">
        <v>3</v>
      </c>
      <c r="I104" s="10" t="s">
        <v>472</v>
      </c>
      <c r="J104" s="10" t="s">
        <v>433</v>
      </c>
      <c r="K104" s="10" t="s">
        <v>441</v>
      </c>
      <c r="L104" s="10" t="s">
        <v>473</v>
      </c>
      <c r="M104" s="10" t="s">
        <v>474</v>
      </c>
      <c r="N104" s="9"/>
      <c r="O104" s="9" t="s">
        <v>51</v>
      </c>
      <c r="P104" s="9"/>
      <c r="Q104" s="10"/>
    </row>
    <row r="105" spans="1:17" ht="32" x14ac:dyDescent="0.4">
      <c r="A105" s="14">
        <v>7</v>
      </c>
      <c r="B105" s="9" t="s">
        <v>428</v>
      </c>
      <c r="C105" s="9" t="s">
        <v>463</v>
      </c>
      <c r="D105" s="9" t="s">
        <v>464</v>
      </c>
      <c r="E105" s="9" t="s">
        <v>100</v>
      </c>
      <c r="F105" s="9" t="s">
        <v>44</v>
      </c>
      <c r="G105" s="10" t="s">
        <v>465</v>
      </c>
      <c r="H105" s="10">
        <v>4</v>
      </c>
      <c r="I105" s="10" t="s">
        <v>475</v>
      </c>
      <c r="J105" s="10" t="s">
        <v>433</v>
      </c>
      <c r="K105" s="10" t="s">
        <v>441</v>
      </c>
      <c r="L105" s="10" t="s">
        <v>442</v>
      </c>
      <c r="M105" s="10" t="s">
        <v>476</v>
      </c>
      <c r="N105" s="9"/>
      <c r="O105" s="9" t="s">
        <v>51</v>
      </c>
      <c r="P105" s="9"/>
      <c r="Q105" s="10"/>
    </row>
    <row r="106" spans="1:17" ht="32" x14ac:dyDescent="0.4">
      <c r="A106" s="14">
        <v>7</v>
      </c>
      <c r="B106" s="9" t="s">
        <v>428</v>
      </c>
      <c r="C106" s="9" t="s">
        <v>463</v>
      </c>
      <c r="D106" s="9" t="s">
        <v>464</v>
      </c>
      <c r="E106" s="9" t="s">
        <v>100</v>
      </c>
      <c r="F106" s="9" t="s">
        <v>44</v>
      </c>
      <c r="G106" s="10" t="s">
        <v>465</v>
      </c>
      <c r="H106" s="10">
        <v>5</v>
      </c>
      <c r="I106" s="10" t="s">
        <v>477</v>
      </c>
      <c r="J106" s="10" t="s">
        <v>75</v>
      </c>
      <c r="K106" s="10" t="s">
        <v>76</v>
      </c>
      <c r="L106" s="10" t="s">
        <v>478</v>
      </c>
      <c r="M106" s="10" t="s">
        <v>479</v>
      </c>
      <c r="N106" s="9"/>
      <c r="O106" s="9" t="s">
        <v>51</v>
      </c>
      <c r="P106" s="9"/>
      <c r="Q106" s="10"/>
    </row>
    <row r="107" spans="1:17" ht="48" x14ac:dyDescent="0.4">
      <c r="A107" s="14">
        <v>8</v>
      </c>
      <c r="B107" s="9" t="s">
        <v>480</v>
      </c>
      <c r="C107" s="9" t="s">
        <v>481</v>
      </c>
      <c r="D107" s="9" t="s">
        <v>482</v>
      </c>
      <c r="E107" s="9" t="s">
        <v>43</v>
      </c>
      <c r="F107" s="9" t="s">
        <v>101</v>
      </c>
      <c r="G107" s="10" t="s">
        <v>483</v>
      </c>
      <c r="H107" s="10">
        <v>1</v>
      </c>
      <c r="I107" s="10" t="s">
        <v>484</v>
      </c>
      <c r="J107" s="10" t="s">
        <v>94</v>
      </c>
      <c r="K107" s="10" t="s">
        <v>485</v>
      </c>
      <c r="L107" s="10" t="s">
        <v>486</v>
      </c>
      <c r="M107" s="10" t="s">
        <v>487</v>
      </c>
      <c r="N107" s="9"/>
      <c r="O107" s="9" t="s">
        <v>51</v>
      </c>
      <c r="P107" s="9"/>
      <c r="Q107" s="10"/>
    </row>
    <row r="108" spans="1:17" ht="48" x14ac:dyDescent="0.4">
      <c r="A108" s="14">
        <v>8</v>
      </c>
      <c r="B108" s="9" t="s">
        <v>480</v>
      </c>
      <c r="C108" s="9" t="s">
        <v>481</v>
      </c>
      <c r="D108" s="9" t="s">
        <v>482</v>
      </c>
      <c r="E108" s="9" t="s">
        <v>43</v>
      </c>
      <c r="F108" s="9" t="s">
        <v>101</v>
      </c>
      <c r="G108" s="10" t="s">
        <v>483</v>
      </c>
      <c r="H108" s="10">
        <v>2</v>
      </c>
      <c r="I108" s="10" t="s">
        <v>488</v>
      </c>
      <c r="J108" s="10" t="s">
        <v>94</v>
      </c>
      <c r="K108" s="10" t="s">
        <v>485</v>
      </c>
      <c r="L108" s="10" t="s">
        <v>489</v>
      </c>
      <c r="M108" s="10" t="s">
        <v>490</v>
      </c>
      <c r="N108" s="9"/>
      <c r="O108" s="9" t="s">
        <v>51</v>
      </c>
      <c r="P108" s="9"/>
      <c r="Q108" s="10"/>
    </row>
    <row r="109" spans="1:17" ht="48" x14ac:dyDescent="0.4">
      <c r="A109" s="14">
        <v>8</v>
      </c>
      <c r="B109" s="9" t="s">
        <v>480</v>
      </c>
      <c r="C109" s="9" t="s">
        <v>481</v>
      </c>
      <c r="D109" s="9" t="s">
        <v>482</v>
      </c>
      <c r="E109" s="9" t="s">
        <v>43</v>
      </c>
      <c r="F109" s="9" t="s">
        <v>101</v>
      </c>
      <c r="G109" s="10" t="s">
        <v>483</v>
      </c>
      <c r="H109" s="10">
        <v>3</v>
      </c>
      <c r="I109" s="10" t="s">
        <v>491</v>
      </c>
      <c r="J109" s="10" t="s">
        <v>433</v>
      </c>
      <c r="K109" s="10" t="s">
        <v>492</v>
      </c>
      <c r="L109" s="10" t="s">
        <v>493</v>
      </c>
      <c r="M109" s="10" t="s">
        <v>494</v>
      </c>
      <c r="N109" s="9"/>
      <c r="O109" s="9" t="s">
        <v>51</v>
      </c>
      <c r="P109" s="9"/>
      <c r="Q109" s="10"/>
    </row>
    <row r="110" spans="1:17" ht="48" x14ac:dyDescent="0.4">
      <c r="A110" s="14">
        <v>8</v>
      </c>
      <c r="B110" s="9" t="s">
        <v>480</v>
      </c>
      <c r="C110" s="9" t="s">
        <v>481</v>
      </c>
      <c r="D110" s="9" t="s">
        <v>482</v>
      </c>
      <c r="E110" s="9" t="s">
        <v>43</v>
      </c>
      <c r="F110" s="9" t="s">
        <v>101</v>
      </c>
      <c r="G110" s="10" t="s">
        <v>483</v>
      </c>
      <c r="H110" s="10">
        <v>4</v>
      </c>
      <c r="I110" s="10" t="s">
        <v>495</v>
      </c>
      <c r="J110" s="10" t="s">
        <v>433</v>
      </c>
      <c r="K110" s="10" t="s">
        <v>496</v>
      </c>
      <c r="L110" s="10" t="s">
        <v>497</v>
      </c>
      <c r="M110" s="10" t="s">
        <v>498</v>
      </c>
      <c r="N110" s="9"/>
      <c r="O110" s="9" t="s">
        <v>51</v>
      </c>
      <c r="P110" s="9"/>
      <c r="Q110" s="10"/>
    </row>
    <row r="111" spans="1:17" ht="48" x14ac:dyDescent="0.4">
      <c r="A111" s="14">
        <v>8</v>
      </c>
      <c r="B111" s="9" t="s">
        <v>480</v>
      </c>
      <c r="C111" s="9" t="s">
        <v>481</v>
      </c>
      <c r="D111" s="9" t="s">
        <v>482</v>
      </c>
      <c r="E111" s="9" t="s">
        <v>43</v>
      </c>
      <c r="F111" s="9" t="s">
        <v>101</v>
      </c>
      <c r="G111" s="10" t="s">
        <v>483</v>
      </c>
      <c r="H111" s="10">
        <v>5</v>
      </c>
      <c r="I111" s="10" t="s">
        <v>444</v>
      </c>
      <c r="J111" s="10" t="s">
        <v>75</v>
      </c>
      <c r="K111" s="10" t="s">
        <v>76</v>
      </c>
      <c r="L111" s="10" t="s">
        <v>499</v>
      </c>
      <c r="M111" s="10" t="s">
        <v>500</v>
      </c>
      <c r="N111" s="9"/>
      <c r="O111" s="9" t="s">
        <v>51</v>
      </c>
      <c r="P111" s="9"/>
      <c r="Q111" s="10"/>
    </row>
    <row r="112" spans="1:17" ht="48" x14ac:dyDescent="0.4">
      <c r="A112" s="14">
        <v>8</v>
      </c>
      <c r="B112" s="9" t="s">
        <v>480</v>
      </c>
      <c r="C112" s="9" t="s">
        <v>481</v>
      </c>
      <c r="D112" s="9" t="s">
        <v>482</v>
      </c>
      <c r="E112" s="9" t="s">
        <v>43</v>
      </c>
      <c r="F112" s="9" t="s">
        <v>101</v>
      </c>
      <c r="G112" s="10" t="s">
        <v>483</v>
      </c>
      <c r="H112" s="10">
        <v>6</v>
      </c>
      <c r="I112" s="10" t="s">
        <v>501</v>
      </c>
      <c r="J112" s="10" t="s">
        <v>449</v>
      </c>
      <c r="K112" s="10" t="s">
        <v>90</v>
      </c>
      <c r="L112" s="10" t="s">
        <v>450</v>
      </c>
      <c r="M112" s="10" t="s">
        <v>502</v>
      </c>
      <c r="N112" s="9"/>
      <c r="O112" s="9" t="s">
        <v>51</v>
      </c>
      <c r="P112" s="9"/>
      <c r="Q112" s="10"/>
    </row>
    <row r="113" spans="1:17" ht="48" x14ac:dyDescent="0.4">
      <c r="A113" s="14">
        <v>8</v>
      </c>
      <c r="B113" s="9" t="s">
        <v>480</v>
      </c>
      <c r="C113" s="9" t="s">
        <v>481</v>
      </c>
      <c r="D113" s="9" t="s">
        <v>482</v>
      </c>
      <c r="E113" s="9" t="s">
        <v>43</v>
      </c>
      <c r="F113" s="9" t="s">
        <v>101</v>
      </c>
      <c r="G113" s="10" t="s">
        <v>483</v>
      </c>
      <c r="H113" s="10">
        <v>7</v>
      </c>
      <c r="I113" s="10" t="s">
        <v>503</v>
      </c>
      <c r="J113" s="10" t="s">
        <v>84</v>
      </c>
      <c r="K113" s="10" t="s">
        <v>504</v>
      </c>
      <c r="L113" s="10" t="s">
        <v>396</v>
      </c>
      <c r="M113" s="10" t="s">
        <v>505</v>
      </c>
      <c r="N113" s="9"/>
      <c r="O113" s="9" t="s">
        <v>51</v>
      </c>
      <c r="P113" s="9"/>
      <c r="Q113" s="10"/>
    </row>
    <row r="114" spans="1:17" ht="48" x14ac:dyDescent="0.4">
      <c r="A114" s="14">
        <v>8</v>
      </c>
      <c r="B114" s="9" t="s">
        <v>480</v>
      </c>
      <c r="C114" s="9" t="s">
        <v>481</v>
      </c>
      <c r="D114" s="9" t="s">
        <v>482</v>
      </c>
      <c r="E114" s="9" t="s">
        <v>43</v>
      </c>
      <c r="F114" s="9" t="s">
        <v>101</v>
      </c>
      <c r="G114" s="10" t="s">
        <v>483</v>
      </c>
      <c r="H114" s="10">
        <v>8</v>
      </c>
      <c r="I114" s="10" t="s">
        <v>506</v>
      </c>
      <c r="J114" s="10" t="s">
        <v>89</v>
      </c>
      <c r="K114" s="10" t="s">
        <v>90</v>
      </c>
      <c r="L114" s="10" t="s">
        <v>461</v>
      </c>
      <c r="M114" s="10" t="s">
        <v>507</v>
      </c>
      <c r="N114" s="9"/>
      <c r="O114" s="9" t="s">
        <v>51</v>
      </c>
      <c r="P114" s="9"/>
      <c r="Q114" s="10"/>
    </row>
    <row r="115" spans="1:17" ht="32" x14ac:dyDescent="0.4">
      <c r="A115" s="14">
        <v>8</v>
      </c>
      <c r="B115" s="9" t="s">
        <v>480</v>
      </c>
      <c r="C115" s="9" t="s">
        <v>508</v>
      </c>
      <c r="D115" s="9" t="s">
        <v>509</v>
      </c>
      <c r="E115" s="9" t="s">
        <v>510</v>
      </c>
      <c r="F115" s="9" t="s">
        <v>511</v>
      </c>
      <c r="G115" s="10" t="s">
        <v>512</v>
      </c>
      <c r="H115" s="10">
        <v>1</v>
      </c>
      <c r="I115" s="10" t="s">
        <v>513</v>
      </c>
      <c r="J115" s="10" t="s">
        <v>94</v>
      </c>
      <c r="K115" s="10" t="s">
        <v>485</v>
      </c>
      <c r="L115" s="10" t="s">
        <v>514</v>
      </c>
      <c r="M115" s="10" t="s">
        <v>515</v>
      </c>
      <c r="N115" s="9"/>
      <c r="O115" s="9" t="s">
        <v>51</v>
      </c>
      <c r="P115" s="9"/>
      <c r="Q115" s="10"/>
    </row>
    <row r="116" spans="1:17" x14ac:dyDescent="0.4">
      <c r="A116" s="14">
        <v>8</v>
      </c>
      <c r="B116" s="9" t="s">
        <v>480</v>
      </c>
      <c r="C116" s="9" t="s">
        <v>508</v>
      </c>
      <c r="D116" s="9" t="s">
        <v>509</v>
      </c>
      <c r="E116" s="9" t="s">
        <v>510</v>
      </c>
      <c r="F116" s="9" t="s">
        <v>511</v>
      </c>
      <c r="G116" s="10" t="s">
        <v>512</v>
      </c>
      <c r="H116" s="10">
        <v>2</v>
      </c>
      <c r="I116" s="10" t="s">
        <v>516</v>
      </c>
      <c r="J116" s="10" t="s">
        <v>433</v>
      </c>
      <c r="K116" s="10" t="s">
        <v>485</v>
      </c>
      <c r="L116" s="10" t="s">
        <v>517</v>
      </c>
      <c r="M116" s="10" t="s">
        <v>518</v>
      </c>
      <c r="N116" s="9"/>
      <c r="O116" s="9" t="s">
        <v>51</v>
      </c>
      <c r="P116" s="9"/>
      <c r="Q116" s="10"/>
    </row>
    <row r="117" spans="1:17" ht="32" x14ac:dyDescent="0.4">
      <c r="A117" s="14">
        <v>8</v>
      </c>
      <c r="B117" s="9" t="s">
        <v>480</v>
      </c>
      <c r="C117" s="9" t="s">
        <v>508</v>
      </c>
      <c r="D117" s="9" t="s">
        <v>509</v>
      </c>
      <c r="E117" s="9" t="s">
        <v>510</v>
      </c>
      <c r="F117" s="9" t="s">
        <v>511</v>
      </c>
      <c r="G117" s="10" t="s">
        <v>512</v>
      </c>
      <c r="H117" s="10">
        <v>3</v>
      </c>
      <c r="I117" s="10" t="s">
        <v>519</v>
      </c>
      <c r="J117" s="10" t="s">
        <v>94</v>
      </c>
      <c r="K117" s="10" t="s">
        <v>485</v>
      </c>
      <c r="L117" s="10" t="s">
        <v>520</v>
      </c>
      <c r="M117" s="10" t="s">
        <v>521</v>
      </c>
      <c r="N117" s="9"/>
      <c r="O117" s="9" t="s">
        <v>51</v>
      </c>
      <c r="P117" s="9"/>
      <c r="Q117" s="10"/>
    </row>
    <row r="118" spans="1:17" ht="32" x14ac:dyDescent="0.4">
      <c r="A118" s="14">
        <v>8</v>
      </c>
      <c r="B118" s="9" t="s">
        <v>480</v>
      </c>
      <c r="C118" s="9" t="s">
        <v>508</v>
      </c>
      <c r="D118" s="9" t="s">
        <v>509</v>
      </c>
      <c r="E118" s="9" t="s">
        <v>510</v>
      </c>
      <c r="F118" s="9" t="s">
        <v>511</v>
      </c>
      <c r="G118" s="10" t="s">
        <v>512</v>
      </c>
      <c r="H118" s="10">
        <v>4</v>
      </c>
      <c r="I118" s="10" t="s">
        <v>522</v>
      </c>
      <c r="J118" s="10" t="s">
        <v>523</v>
      </c>
      <c r="K118" s="10" t="s">
        <v>524</v>
      </c>
      <c r="L118" s="10" t="s">
        <v>525</v>
      </c>
      <c r="M118" s="10" t="s">
        <v>526</v>
      </c>
      <c r="N118" s="9"/>
      <c r="O118" s="9" t="s">
        <v>51</v>
      </c>
      <c r="P118" s="9"/>
      <c r="Q118" s="10"/>
    </row>
    <row r="119" spans="1:17" ht="32" x14ac:dyDescent="0.4">
      <c r="A119" s="14">
        <v>8</v>
      </c>
      <c r="B119" s="9" t="s">
        <v>480</v>
      </c>
      <c r="C119" s="9" t="s">
        <v>508</v>
      </c>
      <c r="D119" s="9" t="s">
        <v>509</v>
      </c>
      <c r="E119" s="9" t="s">
        <v>510</v>
      </c>
      <c r="F119" s="9" t="s">
        <v>511</v>
      </c>
      <c r="G119" s="10" t="s">
        <v>512</v>
      </c>
      <c r="H119" s="10">
        <v>5</v>
      </c>
      <c r="I119" s="10" t="s">
        <v>527</v>
      </c>
      <c r="J119" s="10" t="s">
        <v>94</v>
      </c>
      <c r="K119" s="10" t="s">
        <v>485</v>
      </c>
      <c r="L119" s="10" t="s">
        <v>528</v>
      </c>
      <c r="M119" s="10" t="s">
        <v>529</v>
      </c>
      <c r="N119" s="9"/>
      <c r="O119" s="9" t="s">
        <v>51</v>
      </c>
      <c r="P119" s="9"/>
      <c r="Q119" s="10"/>
    </row>
    <row r="120" spans="1:17" ht="32" x14ac:dyDescent="0.4">
      <c r="A120" s="14">
        <v>9</v>
      </c>
      <c r="B120" s="9" t="s">
        <v>530</v>
      </c>
      <c r="C120" s="9" t="s">
        <v>531</v>
      </c>
      <c r="D120" s="9" t="s">
        <v>532</v>
      </c>
      <c r="E120" s="9" t="s">
        <v>43</v>
      </c>
      <c r="F120" s="9" t="s">
        <v>44</v>
      </c>
      <c r="G120" s="10" t="s">
        <v>533</v>
      </c>
      <c r="H120" s="10">
        <v>1</v>
      </c>
      <c r="I120" s="10" t="s">
        <v>534</v>
      </c>
      <c r="J120" s="10" t="s">
        <v>94</v>
      </c>
      <c r="K120" s="10" t="s">
        <v>485</v>
      </c>
      <c r="L120" s="10" t="s">
        <v>535</v>
      </c>
      <c r="M120" s="10" t="s">
        <v>536</v>
      </c>
      <c r="N120" s="9"/>
      <c r="O120" s="9" t="s">
        <v>51</v>
      </c>
      <c r="P120" s="9"/>
      <c r="Q120" s="10"/>
    </row>
    <row r="121" spans="1:17" ht="32" x14ac:dyDescent="0.4">
      <c r="A121" s="14">
        <v>9</v>
      </c>
      <c r="B121" s="9" t="s">
        <v>530</v>
      </c>
      <c r="C121" s="9" t="s">
        <v>531</v>
      </c>
      <c r="D121" s="9" t="s">
        <v>532</v>
      </c>
      <c r="E121" s="9" t="s">
        <v>43</v>
      </c>
      <c r="F121" s="9" t="s">
        <v>44</v>
      </c>
      <c r="G121" s="10" t="s">
        <v>533</v>
      </c>
      <c r="H121" s="10">
        <v>2</v>
      </c>
      <c r="I121" s="10" t="s">
        <v>537</v>
      </c>
      <c r="J121" s="10" t="s">
        <v>433</v>
      </c>
      <c r="K121" s="10" t="s">
        <v>485</v>
      </c>
      <c r="L121" s="10" t="s">
        <v>538</v>
      </c>
      <c r="M121" s="10" t="s">
        <v>539</v>
      </c>
      <c r="N121" s="9"/>
      <c r="O121" s="9" t="s">
        <v>51</v>
      </c>
      <c r="P121" s="9"/>
      <c r="Q121" s="10"/>
    </row>
    <row r="122" spans="1:17" ht="32" x14ac:dyDescent="0.4">
      <c r="A122" s="14">
        <v>9</v>
      </c>
      <c r="B122" s="9" t="s">
        <v>530</v>
      </c>
      <c r="C122" s="9" t="s">
        <v>531</v>
      </c>
      <c r="D122" s="9" t="s">
        <v>532</v>
      </c>
      <c r="E122" s="9" t="s">
        <v>43</v>
      </c>
      <c r="F122" s="9" t="s">
        <v>44</v>
      </c>
      <c r="G122" s="10" t="s">
        <v>533</v>
      </c>
      <c r="H122" s="10">
        <v>3</v>
      </c>
      <c r="I122" s="10" t="s">
        <v>540</v>
      </c>
      <c r="J122" s="10" t="s">
        <v>433</v>
      </c>
      <c r="K122" s="10" t="s">
        <v>492</v>
      </c>
      <c r="L122" s="10" t="s">
        <v>541</v>
      </c>
      <c r="M122" s="10" t="s">
        <v>542</v>
      </c>
      <c r="N122" s="9"/>
      <c r="O122" s="9" t="s">
        <v>51</v>
      </c>
      <c r="P122" s="9"/>
      <c r="Q122" s="10"/>
    </row>
    <row r="123" spans="1:17" ht="32" x14ac:dyDescent="0.4">
      <c r="A123" s="14">
        <v>9</v>
      </c>
      <c r="B123" s="9" t="s">
        <v>530</v>
      </c>
      <c r="C123" s="9" t="s">
        <v>531</v>
      </c>
      <c r="D123" s="9" t="s">
        <v>532</v>
      </c>
      <c r="E123" s="9" t="s">
        <v>43</v>
      </c>
      <c r="F123" s="9" t="s">
        <v>44</v>
      </c>
      <c r="G123" s="10" t="s">
        <v>533</v>
      </c>
      <c r="H123" s="10">
        <v>4</v>
      </c>
      <c r="I123" s="10" t="s">
        <v>543</v>
      </c>
      <c r="J123" s="10" t="s">
        <v>75</v>
      </c>
      <c r="K123" s="10" t="s">
        <v>544</v>
      </c>
      <c r="L123" s="10" t="s">
        <v>545</v>
      </c>
      <c r="M123" s="10" t="s">
        <v>546</v>
      </c>
      <c r="N123" s="9"/>
      <c r="O123" s="9" t="s">
        <v>51</v>
      </c>
      <c r="P123" s="9"/>
      <c r="Q123" s="10"/>
    </row>
    <row r="124" spans="1:17" ht="32" x14ac:dyDescent="0.4">
      <c r="A124" s="14">
        <v>9</v>
      </c>
      <c r="B124" s="9" t="s">
        <v>530</v>
      </c>
      <c r="C124" s="9" t="s">
        <v>531</v>
      </c>
      <c r="D124" s="9" t="s">
        <v>532</v>
      </c>
      <c r="E124" s="9" t="s">
        <v>43</v>
      </c>
      <c r="F124" s="9" t="s">
        <v>44</v>
      </c>
      <c r="G124" s="10" t="s">
        <v>533</v>
      </c>
      <c r="H124" s="10">
        <v>5</v>
      </c>
      <c r="I124" s="10" t="s">
        <v>547</v>
      </c>
      <c r="J124" s="10" t="s">
        <v>548</v>
      </c>
      <c r="K124" s="10" t="s">
        <v>549</v>
      </c>
      <c r="L124" s="10" t="s">
        <v>550</v>
      </c>
      <c r="M124" s="10" t="s">
        <v>551</v>
      </c>
      <c r="N124" s="9"/>
      <c r="O124" s="9" t="s">
        <v>51</v>
      </c>
      <c r="P124" s="9"/>
      <c r="Q124" s="10"/>
    </row>
    <row r="125" spans="1:17" ht="32" x14ac:dyDescent="0.4">
      <c r="A125" s="14">
        <v>9</v>
      </c>
      <c r="B125" s="9" t="s">
        <v>530</v>
      </c>
      <c r="C125" s="9" t="s">
        <v>531</v>
      </c>
      <c r="D125" s="9" t="s">
        <v>532</v>
      </c>
      <c r="E125" s="9" t="s">
        <v>43</v>
      </c>
      <c r="F125" s="9" t="s">
        <v>44</v>
      </c>
      <c r="G125" s="10" t="s">
        <v>533</v>
      </c>
      <c r="H125" s="10">
        <v>6</v>
      </c>
      <c r="I125" s="10" t="s">
        <v>552</v>
      </c>
      <c r="J125" s="10" t="s">
        <v>553</v>
      </c>
      <c r="K125" s="10" t="s">
        <v>71</v>
      </c>
      <c r="L125" s="10" t="s">
        <v>554</v>
      </c>
      <c r="M125" s="10" t="s">
        <v>555</v>
      </c>
      <c r="N125" s="9"/>
      <c r="O125" s="9" t="s">
        <v>51</v>
      </c>
      <c r="P125" s="9"/>
      <c r="Q125" s="10"/>
    </row>
    <row r="126" spans="1:17" ht="32" x14ac:dyDescent="0.4">
      <c r="A126" s="14">
        <v>9</v>
      </c>
      <c r="B126" s="9" t="s">
        <v>530</v>
      </c>
      <c r="C126" s="9" t="s">
        <v>531</v>
      </c>
      <c r="D126" s="9" t="s">
        <v>532</v>
      </c>
      <c r="E126" s="9" t="s">
        <v>43</v>
      </c>
      <c r="F126" s="9" t="s">
        <v>44</v>
      </c>
      <c r="G126" s="10" t="s">
        <v>533</v>
      </c>
      <c r="H126" s="10">
        <v>7</v>
      </c>
      <c r="I126" s="10" t="s">
        <v>556</v>
      </c>
      <c r="J126" s="10" t="s">
        <v>557</v>
      </c>
      <c r="K126" s="10" t="s">
        <v>558</v>
      </c>
      <c r="L126" s="10" t="s">
        <v>559</v>
      </c>
      <c r="M126" s="10" t="s">
        <v>560</v>
      </c>
      <c r="N126" s="9"/>
      <c r="O126" s="9" t="s">
        <v>51</v>
      </c>
      <c r="P126" s="9"/>
      <c r="Q126" s="10"/>
    </row>
    <row r="127" spans="1:17" ht="32" x14ac:dyDescent="0.4">
      <c r="A127" s="14">
        <v>9</v>
      </c>
      <c r="B127" s="9" t="s">
        <v>530</v>
      </c>
      <c r="C127" s="9" t="s">
        <v>531</v>
      </c>
      <c r="D127" s="9" t="s">
        <v>532</v>
      </c>
      <c r="E127" s="9" t="s">
        <v>43</v>
      </c>
      <c r="F127" s="9" t="s">
        <v>44</v>
      </c>
      <c r="G127" s="10" t="s">
        <v>533</v>
      </c>
      <c r="H127" s="10">
        <v>8</v>
      </c>
      <c r="I127" s="10" t="s">
        <v>561</v>
      </c>
      <c r="J127" s="10" t="s">
        <v>562</v>
      </c>
      <c r="K127" s="10" t="s">
        <v>563</v>
      </c>
      <c r="L127" s="10" t="s">
        <v>564</v>
      </c>
      <c r="M127" s="10" t="s">
        <v>565</v>
      </c>
      <c r="N127" s="9"/>
      <c r="O127" s="9" t="s">
        <v>51</v>
      </c>
      <c r="P127" s="9"/>
      <c r="Q127" s="10"/>
    </row>
    <row r="128" spans="1:17" ht="32" x14ac:dyDescent="0.4">
      <c r="A128" s="14">
        <v>9</v>
      </c>
      <c r="B128" s="9" t="s">
        <v>530</v>
      </c>
      <c r="C128" s="9" t="s">
        <v>531</v>
      </c>
      <c r="D128" s="9" t="s">
        <v>532</v>
      </c>
      <c r="E128" s="9" t="s">
        <v>43</v>
      </c>
      <c r="F128" s="9" t="s">
        <v>44</v>
      </c>
      <c r="G128" s="10" t="s">
        <v>533</v>
      </c>
      <c r="H128" s="10">
        <v>9</v>
      </c>
      <c r="I128" s="10" t="s">
        <v>566</v>
      </c>
      <c r="J128" s="10" t="s">
        <v>94</v>
      </c>
      <c r="K128" s="10" t="s">
        <v>567</v>
      </c>
      <c r="L128" s="10" t="s">
        <v>568</v>
      </c>
      <c r="M128" s="10" t="s">
        <v>569</v>
      </c>
      <c r="N128" s="9"/>
      <c r="O128" s="9" t="s">
        <v>51</v>
      </c>
      <c r="P128" s="9"/>
      <c r="Q128" s="10"/>
    </row>
    <row r="129" spans="1:17" ht="32" x14ac:dyDescent="0.4">
      <c r="A129" s="14">
        <v>9</v>
      </c>
      <c r="B129" s="9" t="s">
        <v>530</v>
      </c>
      <c r="C129" s="9" t="s">
        <v>531</v>
      </c>
      <c r="D129" s="9" t="s">
        <v>532</v>
      </c>
      <c r="E129" s="9" t="s">
        <v>43</v>
      </c>
      <c r="F129" s="9" t="s">
        <v>44</v>
      </c>
      <c r="G129" s="10" t="s">
        <v>533</v>
      </c>
      <c r="H129" s="10">
        <v>10</v>
      </c>
      <c r="I129" s="10" t="s">
        <v>570</v>
      </c>
      <c r="J129" s="10" t="s">
        <v>89</v>
      </c>
      <c r="K129" s="10" t="s">
        <v>90</v>
      </c>
      <c r="L129" s="10" t="s">
        <v>571</v>
      </c>
      <c r="M129" s="10" t="s">
        <v>572</v>
      </c>
      <c r="N129" s="9"/>
      <c r="O129" s="9" t="s">
        <v>51</v>
      </c>
      <c r="P129" s="9"/>
      <c r="Q129" s="10"/>
    </row>
    <row r="130" spans="1:17" ht="32" x14ac:dyDescent="0.4">
      <c r="A130" s="14">
        <v>9</v>
      </c>
      <c r="B130" s="9" t="s">
        <v>530</v>
      </c>
      <c r="C130" s="9" t="s">
        <v>573</v>
      </c>
      <c r="D130" s="9" t="s">
        <v>574</v>
      </c>
      <c r="E130" s="9" t="s">
        <v>100</v>
      </c>
      <c r="F130" s="9" t="s">
        <v>44</v>
      </c>
      <c r="G130" s="10" t="s">
        <v>575</v>
      </c>
      <c r="H130" s="10">
        <v>1</v>
      </c>
      <c r="I130" s="10" t="s">
        <v>576</v>
      </c>
      <c r="J130" s="10" t="s">
        <v>433</v>
      </c>
      <c r="K130" s="10" t="s">
        <v>485</v>
      </c>
      <c r="L130" s="10" t="s">
        <v>577</v>
      </c>
      <c r="M130" s="10" t="s">
        <v>578</v>
      </c>
      <c r="N130" s="9"/>
      <c r="O130" s="9" t="s">
        <v>51</v>
      </c>
      <c r="P130" s="9"/>
      <c r="Q130" s="10"/>
    </row>
    <row r="131" spans="1:17" ht="32" x14ac:dyDescent="0.4">
      <c r="A131" s="14">
        <v>9</v>
      </c>
      <c r="B131" s="9" t="s">
        <v>530</v>
      </c>
      <c r="C131" s="9" t="s">
        <v>573</v>
      </c>
      <c r="D131" s="9" t="s">
        <v>574</v>
      </c>
      <c r="E131" s="9" t="s">
        <v>100</v>
      </c>
      <c r="F131" s="9" t="s">
        <v>44</v>
      </c>
      <c r="G131" s="10" t="s">
        <v>575</v>
      </c>
      <c r="H131" s="10">
        <v>2</v>
      </c>
      <c r="I131" s="10" t="s">
        <v>579</v>
      </c>
      <c r="J131" s="10" t="s">
        <v>94</v>
      </c>
      <c r="K131" s="10" t="s">
        <v>71</v>
      </c>
      <c r="L131" s="10" t="s">
        <v>580</v>
      </c>
      <c r="M131" s="10" t="s">
        <v>581</v>
      </c>
      <c r="N131" s="9"/>
      <c r="O131" s="9" t="s">
        <v>51</v>
      </c>
      <c r="P131" s="9"/>
      <c r="Q131" s="10"/>
    </row>
    <row r="132" spans="1:17" ht="32" x14ac:dyDescent="0.4">
      <c r="A132" s="14">
        <v>9</v>
      </c>
      <c r="B132" s="9" t="s">
        <v>530</v>
      </c>
      <c r="C132" s="9" t="s">
        <v>573</v>
      </c>
      <c r="D132" s="9" t="s">
        <v>574</v>
      </c>
      <c r="E132" s="9" t="s">
        <v>100</v>
      </c>
      <c r="F132" s="9" t="s">
        <v>44</v>
      </c>
      <c r="G132" s="10" t="s">
        <v>575</v>
      </c>
      <c r="H132" s="10">
        <v>3</v>
      </c>
      <c r="I132" s="10" t="s">
        <v>582</v>
      </c>
      <c r="J132" s="10" t="s">
        <v>562</v>
      </c>
      <c r="K132" s="10" t="s">
        <v>583</v>
      </c>
      <c r="L132" s="10" t="s">
        <v>584</v>
      </c>
      <c r="M132" s="10" t="s">
        <v>585</v>
      </c>
      <c r="N132" s="9"/>
      <c r="O132" s="9" t="s">
        <v>51</v>
      </c>
      <c r="P132" s="9"/>
      <c r="Q132" s="10"/>
    </row>
    <row r="133" spans="1:17" ht="32" x14ac:dyDescent="0.4">
      <c r="A133" s="14">
        <v>9</v>
      </c>
      <c r="B133" s="9" t="s">
        <v>530</v>
      </c>
      <c r="C133" s="9" t="s">
        <v>573</v>
      </c>
      <c r="D133" s="9" t="s">
        <v>574</v>
      </c>
      <c r="E133" s="9" t="s">
        <v>100</v>
      </c>
      <c r="F133" s="9" t="s">
        <v>44</v>
      </c>
      <c r="G133" s="10" t="s">
        <v>575</v>
      </c>
      <c r="H133" s="10">
        <v>4</v>
      </c>
      <c r="I133" s="10" t="s">
        <v>586</v>
      </c>
      <c r="J133" s="10" t="s">
        <v>94</v>
      </c>
      <c r="K133" s="10" t="s">
        <v>587</v>
      </c>
      <c r="L133" s="10" t="s">
        <v>588</v>
      </c>
      <c r="M133" s="10" t="s">
        <v>589</v>
      </c>
      <c r="N133" s="9"/>
      <c r="O133" s="9" t="s">
        <v>51</v>
      </c>
      <c r="P133" s="9"/>
      <c r="Q133" s="10"/>
    </row>
    <row r="134" spans="1:17" ht="32" x14ac:dyDescent="0.4">
      <c r="A134" s="14">
        <v>9</v>
      </c>
      <c r="B134" s="9" t="s">
        <v>530</v>
      </c>
      <c r="C134" s="9" t="s">
        <v>573</v>
      </c>
      <c r="D134" s="9" t="s">
        <v>574</v>
      </c>
      <c r="E134" s="9" t="s">
        <v>100</v>
      </c>
      <c r="F134" s="9" t="s">
        <v>44</v>
      </c>
      <c r="G134" s="10" t="s">
        <v>575</v>
      </c>
      <c r="H134" s="10">
        <v>5</v>
      </c>
      <c r="I134" s="10" t="s">
        <v>590</v>
      </c>
      <c r="J134" s="10" t="s">
        <v>591</v>
      </c>
      <c r="K134" s="10" t="s">
        <v>592</v>
      </c>
      <c r="L134" s="10" t="s">
        <v>593</v>
      </c>
      <c r="M134" s="10" t="s">
        <v>594</v>
      </c>
      <c r="N134" s="9"/>
      <c r="O134" s="9" t="s">
        <v>51</v>
      </c>
      <c r="P134" s="9"/>
      <c r="Q134" s="10"/>
    </row>
    <row r="135" spans="1:17" ht="32" x14ac:dyDescent="0.4">
      <c r="A135" s="14">
        <v>10</v>
      </c>
      <c r="B135" s="9" t="s">
        <v>595</v>
      </c>
      <c r="C135" s="9" t="s">
        <v>596</v>
      </c>
      <c r="D135" s="9" t="s">
        <v>597</v>
      </c>
      <c r="E135" s="9" t="s">
        <v>43</v>
      </c>
      <c r="F135" s="9" t="s">
        <v>44</v>
      </c>
      <c r="G135" s="10" t="s">
        <v>598</v>
      </c>
      <c r="H135" s="10">
        <v>1</v>
      </c>
      <c r="I135" s="10" t="s">
        <v>599</v>
      </c>
      <c r="J135" s="10" t="s">
        <v>94</v>
      </c>
      <c r="K135" s="10" t="s">
        <v>587</v>
      </c>
      <c r="L135" s="10" t="s">
        <v>600</v>
      </c>
      <c r="M135" s="10" t="s">
        <v>601</v>
      </c>
      <c r="N135" s="9"/>
      <c r="O135" s="9" t="s">
        <v>51</v>
      </c>
      <c r="P135" s="9"/>
      <c r="Q135" s="10"/>
    </row>
    <row r="136" spans="1:17" ht="32" x14ac:dyDescent="0.4">
      <c r="A136" s="14">
        <v>10</v>
      </c>
      <c r="B136" s="9" t="s">
        <v>595</v>
      </c>
      <c r="C136" s="9" t="s">
        <v>596</v>
      </c>
      <c r="D136" s="9" t="s">
        <v>597</v>
      </c>
      <c r="E136" s="9" t="s">
        <v>43</v>
      </c>
      <c r="F136" s="9" t="s">
        <v>44</v>
      </c>
      <c r="G136" s="10" t="s">
        <v>598</v>
      </c>
      <c r="H136" s="10">
        <v>2</v>
      </c>
      <c r="I136" s="10" t="s">
        <v>602</v>
      </c>
      <c r="J136" s="10" t="s">
        <v>75</v>
      </c>
      <c r="K136" s="10" t="s">
        <v>603</v>
      </c>
      <c r="L136" s="10" t="s">
        <v>604</v>
      </c>
      <c r="M136" s="10" t="s">
        <v>605</v>
      </c>
      <c r="N136" s="9"/>
      <c r="O136" s="9" t="s">
        <v>51</v>
      </c>
      <c r="P136" s="9"/>
      <c r="Q136" s="10"/>
    </row>
    <row r="137" spans="1:17" ht="32" x14ac:dyDescent="0.4">
      <c r="A137" s="14">
        <v>10</v>
      </c>
      <c r="B137" s="9" t="s">
        <v>595</v>
      </c>
      <c r="C137" s="9" t="s">
        <v>596</v>
      </c>
      <c r="D137" s="9" t="s">
        <v>597</v>
      </c>
      <c r="E137" s="9" t="s">
        <v>43</v>
      </c>
      <c r="F137" s="9" t="s">
        <v>44</v>
      </c>
      <c r="G137" s="10" t="s">
        <v>598</v>
      </c>
      <c r="H137" s="10">
        <v>3</v>
      </c>
      <c r="I137" s="10" t="s">
        <v>606</v>
      </c>
      <c r="J137" s="10" t="s">
        <v>75</v>
      </c>
      <c r="K137" s="10" t="s">
        <v>157</v>
      </c>
      <c r="L137" s="10" t="s">
        <v>607</v>
      </c>
      <c r="M137" s="10" t="s">
        <v>608</v>
      </c>
      <c r="N137" s="9"/>
      <c r="O137" s="9" t="s">
        <v>51</v>
      </c>
      <c r="P137" s="9"/>
      <c r="Q137" s="10"/>
    </row>
    <row r="138" spans="1:17" ht="32" x14ac:dyDescent="0.4">
      <c r="A138" s="14">
        <v>10</v>
      </c>
      <c r="B138" s="9" t="s">
        <v>595</v>
      </c>
      <c r="C138" s="9" t="s">
        <v>596</v>
      </c>
      <c r="D138" s="9" t="s">
        <v>597</v>
      </c>
      <c r="E138" s="9" t="s">
        <v>43</v>
      </c>
      <c r="F138" s="9" t="s">
        <v>44</v>
      </c>
      <c r="G138" s="10" t="s">
        <v>598</v>
      </c>
      <c r="H138" s="10">
        <v>4</v>
      </c>
      <c r="I138" s="10" t="s">
        <v>609</v>
      </c>
      <c r="J138" s="10" t="s">
        <v>610</v>
      </c>
      <c r="K138" s="10" t="s">
        <v>611</v>
      </c>
      <c r="L138" s="10" t="s">
        <v>612</v>
      </c>
      <c r="M138" s="10" t="s">
        <v>613</v>
      </c>
      <c r="N138" s="9"/>
      <c r="O138" s="9" t="s">
        <v>51</v>
      </c>
      <c r="P138" s="9"/>
      <c r="Q138" s="10"/>
    </row>
    <row r="139" spans="1:17" ht="32" x14ac:dyDescent="0.4">
      <c r="A139" s="14">
        <v>10</v>
      </c>
      <c r="B139" s="9" t="s">
        <v>595</v>
      </c>
      <c r="C139" s="9" t="s">
        <v>596</v>
      </c>
      <c r="D139" s="9" t="s">
        <v>597</v>
      </c>
      <c r="E139" s="9" t="s">
        <v>43</v>
      </c>
      <c r="F139" s="9" t="s">
        <v>44</v>
      </c>
      <c r="G139" s="10" t="s">
        <v>598</v>
      </c>
      <c r="H139" s="10">
        <v>5</v>
      </c>
      <c r="I139" s="10" t="s">
        <v>614</v>
      </c>
      <c r="J139" s="10" t="s">
        <v>75</v>
      </c>
      <c r="K139" s="10" t="s">
        <v>615</v>
      </c>
      <c r="L139" s="10" t="s">
        <v>616</v>
      </c>
      <c r="M139" s="10" t="s">
        <v>617</v>
      </c>
      <c r="N139" s="9"/>
      <c r="O139" s="9" t="s">
        <v>51</v>
      </c>
      <c r="P139" s="9"/>
      <c r="Q139" s="10"/>
    </row>
    <row r="140" spans="1:17" ht="32" x14ac:dyDescent="0.4">
      <c r="A140" s="14">
        <v>10</v>
      </c>
      <c r="B140" s="9" t="s">
        <v>595</v>
      </c>
      <c r="C140" s="9" t="s">
        <v>596</v>
      </c>
      <c r="D140" s="9" t="s">
        <v>597</v>
      </c>
      <c r="E140" s="9" t="s">
        <v>43</v>
      </c>
      <c r="F140" s="9" t="s">
        <v>44</v>
      </c>
      <c r="G140" s="10" t="s">
        <v>598</v>
      </c>
      <c r="H140" s="10">
        <v>6</v>
      </c>
      <c r="I140" s="10" t="s">
        <v>618</v>
      </c>
      <c r="J140" s="10" t="s">
        <v>94</v>
      </c>
      <c r="K140" s="10" t="s">
        <v>587</v>
      </c>
      <c r="L140" s="10" t="s">
        <v>619</v>
      </c>
      <c r="M140" s="10" t="s">
        <v>620</v>
      </c>
      <c r="N140" s="9"/>
      <c r="O140" s="9" t="s">
        <v>51</v>
      </c>
      <c r="P140" s="9"/>
      <c r="Q140" s="10"/>
    </row>
    <row r="141" spans="1:17" ht="32" x14ac:dyDescent="0.4">
      <c r="A141" s="14">
        <v>10</v>
      </c>
      <c r="B141" s="9" t="s">
        <v>595</v>
      </c>
      <c r="C141" s="9" t="s">
        <v>596</v>
      </c>
      <c r="D141" s="9" t="s">
        <v>597</v>
      </c>
      <c r="E141" s="9" t="s">
        <v>43</v>
      </c>
      <c r="F141" s="9" t="s">
        <v>44</v>
      </c>
      <c r="G141" s="10" t="s">
        <v>598</v>
      </c>
      <c r="H141" s="10">
        <v>7</v>
      </c>
      <c r="I141" s="10" t="s">
        <v>621</v>
      </c>
      <c r="J141" s="10" t="s">
        <v>94</v>
      </c>
      <c r="K141" s="10" t="s">
        <v>622</v>
      </c>
      <c r="L141" s="10" t="s">
        <v>623</v>
      </c>
      <c r="M141" s="10" t="s">
        <v>624</v>
      </c>
      <c r="N141" s="9"/>
      <c r="O141" s="9" t="s">
        <v>51</v>
      </c>
      <c r="P141" s="9"/>
      <c r="Q141" s="10"/>
    </row>
    <row r="142" spans="1:17" ht="32" x14ac:dyDescent="0.4">
      <c r="A142" s="14">
        <v>10</v>
      </c>
      <c r="B142" s="9" t="s">
        <v>595</v>
      </c>
      <c r="C142" s="9" t="s">
        <v>596</v>
      </c>
      <c r="D142" s="9" t="s">
        <v>597</v>
      </c>
      <c r="E142" s="9" t="s">
        <v>43</v>
      </c>
      <c r="F142" s="9" t="s">
        <v>44</v>
      </c>
      <c r="G142" s="10" t="s">
        <v>598</v>
      </c>
      <c r="H142" s="10">
        <v>8</v>
      </c>
      <c r="I142" s="10" t="s">
        <v>625</v>
      </c>
      <c r="J142" s="10" t="s">
        <v>626</v>
      </c>
      <c r="K142" s="10" t="s">
        <v>627</v>
      </c>
      <c r="L142" s="10" t="s">
        <v>628</v>
      </c>
      <c r="M142" s="10" t="s">
        <v>629</v>
      </c>
      <c r="N142" s="9"/>
      <c r="O142" s="9" t="s">
        <v>51</v>
      </c>
      <c r="P142" s="9"/>
      <c r="Q142" s="10"/>
    </row>
    <row r="143" spans="1:17" ht="32" x14ac:dyDescent="0.4">
      <c r="A143" s="14">
        <v>10</v>
      </c>
      <c r="B143" s="9" t="s">
        <v>595</v>
      </c>
      <c r="C143" s="9" t="s">
        <v>630</v>
      </c>
      <c r="D143" s="9" t="s">
        <v>631</v>
      </c>
      <c r="E143" s="9" t="s">
        <v>100</v>
      </c>
      <c r="F143" s="9" t="s">
        <v>44</v>
      </c>
      <c r="G143" s="10" t="s">
        <v>632</v>
      </c>
      <c r="H143" s="10">
        <v>1</v>
      </c>
      <c r="I143" s="10" t="s">
        <v>633</v>
      </c>
      <c r="J143" s="10" t="s">
        <v>94</v>
      </c>
      <c r="K143" s="10" t="s">
        <v>603</v>
      </c>
      <c r="L143" s="10" t="s">
        <v>634</v>
      </c>
      <c r="M143" s="10" t="s">
        <v>635</v>
      </c>
      <c r="N143" s="9"/>
      <c r="O143" s="9" t="s">
        <v>51</v>
      </c>
      <c r="P143" s="9"/>
      <c r="Q143" s="10"/>
    </row>
    <row r="144" spans="1:17" ht="32" x14ac:dyDescent="0.4">
      <c r="A144" s="14">
        <v>10</v>
      </c>
      <c r="B144" s="9" t="s">
        <v>595</v>
      </c>
      <c r="C144" s="9" t="s">
        <v>630</v>
      </c>
      <c r="D144" s="9" t="s">
        <v>631</v>
      </c>
      <c r="E144" s="9" t="s">
        <v>100</v>
      </c>
      <c r="F144" s="9" t="s">
        <v>44</v>
      </c>
      <c r="G144" s="10" t="s">
        <v>632</v>
      </c>
      <c r="H144" s="10">
        <v>2</v>
      </c>
      <c r="I144" s="10" t="s">
        <v>636</v>
      </c>
      <c r="J144" s="10" t="s">
        <v>75</v>
      </c>
      <c r="K144" s="10" t="s">
        <v>637</v>
      </c>
      <c r="L144" s="10" t="s">
        <v>638</v>
      </c>
      <c r="M144" s="10" t="s">
        <v>639</v>
      </c>
      <c r="N144" s="9"/>
      <c r="O144" s="9" t="s">
        <v>51</v>
      </c>
      <c r="P144" s="9"/>
      <c r="Q144" s="10"/>
    </row>
    <row r="145" spans="1:17" ht="32" x14ac:dyDescent="0.4">
      <c r="A145" s="14">
        <v>10</v>
      </c>
      <c r="B145" s="9" t="s">
        <v>595</v>
      </c>
      <c r="C145" s="9" t="s">
        <v>630</v>
      </c>
      <c r="D145" s="9" t="s">
        <v>631</v>
      </c>
      <c r="E145" s="9" t="s">
        <v>100</v>
      </c>
      <c r="F145" s="9" t="s">
        <v>44</v>
      </c>
      <c r="G145" s="10" t="s">
        <v>632</v>
      </c>
      <c r="H145" s="10">
        <v>3</v>
      </c>
      <c r="I145" s="10" t="s">
        <v>640</v>
      </c>
      <c r="J145" s="10" t="s">
        <v>94</v>
      </c>
      <c r="K145" s="10" t="s">
        <v>603</v>
      </c>
      <c r="L145" s="10" t="s">
        <v>641</v>
      </c>
      <c r="M145" s="10" t="s">
        <v>642</v>
      </c>
      <c r="N145" s="9"/>
      <c r="O145" s="9" t="s">
        <v>51</v>
      </c>
      <c r="P145" s="9"/>
      <c r="Q145" s="10"/>
    </row>
    <row r="146" spans="1:17" ht="32" x14ac:dyDescent="0.4">
      <c r="A146" s="14">
        <v>10</v>
      </c>
      <c r="B146" s="9" t="s">
        <v>595</v>
      </c>
      <c r="C146" s="9" t="s">
        <v>630</v>
      </c>
      <c r="D146" s="9" t="s">
        <v>631</v>
      </c>
      <c r="E146" s="9" t="s">
        <v>100</v>
      </c>
      <c r="F146" s="9" t="s">
        <v>44</v>
      </c>
      <c r="G146" s="10" t="s">
        <v>632</v>
      </c>
      <c r="H146" s="10">
        <v>4</v>
      </c>
      <c r="I146" s="10" t="s">
        <v>643</v>
      </c>
      <c r="J146" s="10" t="s">
        <v>94</v>
      </c>
      <c r="K146" s="10" t="s">
        <v>587</v>
      </c>
      <c r="L146" s="10" t="s">
        <v>644</v>
      </c>
      <c r="M146" s="10" t="s">
        <v>645</v>
      </c>
      <c r="N146" s="9"/>
      <c r="O146" s="9" t="s">
        <v>51</v>
      </c>
      <c r="P146" s="9"/>
      <c r="Q146" s="10"/>
    </row>
    <row r="147" spans="1:17" ht="32" x14ac:dyDescent="0.4">
      <c r="A147" s="14">
        <v>10</v>
      </c>
      <c r="B147" s="9" t="s">
        <v>595</v>
      </c>
      <c r="C147" s="9" t="s">
        <v>630</v>
      </c>
      <c r="D147" s="9" t="s">
        <v>631</v>
      </c>
      <c r="E147" s="9" t="s">
        <v>100</v>
      </c>
      <c r="F147" s="9" t="s">
        <v>44</v>
      </c>
      <c r="G147" s="10" t="s">
        <v>632</v>
      </c>
      <c r="H147" s="10">
        <v>5</v>
      </c>
      <c r="I147" s="10" t="s">
        <v>646</v>
      </c>
      <c r="J147" s="10" t="s">
        <v>433</v>
      </c>
      <c r="K147" s="10" t="s">
        <v>647</v>
      </c>
      <c r="L147" s="10" t="s">
        <v>648</v>
      </c>
      <c r="M147" s="10" t="s">
        <v>649</v>
      </c>
      <c r="N147" s="9"/>
      <c r="O147" s="9" t="s">
        <v>51</v>
      </c>
      <c r="P147" s="9"/>
      <c r="Q147" s="10"/>
    </row>
    <row r="148" spans="1:17" ht="32" x14ac:dyDescent="0.4">
      <c r="A148" s="14">
        <v>10</v>
      </c>
      <c r="B148" s="9" t="s">
        <v>595</v>
      </c>
      <c r="C148" s="9" t="s">
        <v>630</v>
      </c>
      <c r="D148" s="9" t="s">
        <v>631</v>
      </c>
      <c r="E148" s="9" t="s">
        <v>100</v>
      </c>
      <c r="F148" s="9" t="s">
        <v>44</v>
      </c>
      <c r="G148" s="10" t="s">
        <v>632</v>
      </c>
      <c r="H148" s="10">
        <v>6</v>
      </c>
      <c r="I148" s="10" t="s">
        <v>650</v>
      </c>
      <c r="J148" s="10" t="s">
        <v>626</v>
      </c>
      <c r="K148" s="10" t="s">
        <v>603</v>
      </c>
      <c r="L148" s="10" t="s">
        <v>651</v>
      </c>
      <c r="M148" s="10" t="s">
        <v>652</v>
      </c>
      <c r="N148" s="9"/>
      <c r="O148" s="9" t="s">
        <v>51</v>
      </c>
      <c r="P148" s="9"/>
      <c r="Q148" s="10"/>
    </row>
    <row r="149" spans="1:17" ht="32" x14ac:dyDescent="0.4">
      <c r="A149" s="14">
        <v>11</v>
      </c>
      <c r="B149" s="9" t="s">
        <v>653</v>
      </c>
      <c r="C149" s="9" t="s">
        <v>654</v>
      </c>
      <c r="D149" s="9" t="s">
        <v>655</v>
      </c>
      <c r="E149" s="9" t="s">
        <v>43</v>
      </c>
      <c r="F149" s="9" t="s">
        <v>44</v>
      </c>
      <c r="G149" s="10" t="s">
        <v>656</v>
      </c>
      <c r="H149" s="10">
        <v>1</v>
      </c>
      <c r="I149" s="10" t="s">
        <v>657</v>
      </c>
      <c r="J149" s="10" t="s">
        <v>94</v>
      </c>
      <c r="K149" s="10" t="s">
        <v>587</v>
      </c>
      <c r="L149" s="10" t="s">
        <v>658</v>
      </c>
      <c r="M149" s="10" t="s">
        <v>659</v>
      </c>
      <c r="N149" s="9"/>
      <c r="O149" s="9" t="s">
        <v>51</v>
      </c>
      <c r="P149" s="9"/>
      <c r="Q149" s="10"/>
    </row>
    <row r="150" spans="1:17" ht="32" x14ac:dyDescent="0.4">
      <c r="A150" s="14">
        <v>11</v>
      </c>
      <c r="B150" s="9" t="s">
        <v>653</v>
      </c>
      <c r="C150" s="9" t="s">
        <v>654</v>
      </c>
      <c r="D150" s="9" t="s">
        <v>655</v>
      </c>
      <c r="E150" s="9" t="s">
        <v>43</v>
      </c>
      <c r="F150" s="9" t="s">
        <v>44</v>
      </c>
      <c r="G150" s="10" t="s">
        <v>656</v>
      </c>
      <c r="H150" s="10">
        <v>2</v>
      </c>
      <c r="I150" s="10" t="s">
        <v>660</v>
      </c>
      <c r="J150" s="10" t="s">
        <v>75</v>
      </c>
      <c r="K150" s="10" t="s">
        <v>603</v>
      </c>
      <c r="L150" s="10" t="s">
        <v>604</v>
      </c>
      <c r="M150" s="10" t="s">
        <v>661</v>
      </c>
      <c r="N150" s="9"/>
      <c r="O150" s="9" t="s">
        <v>51</v>
      </c>
      <c r="P150" s="9"/>
      <c r="Q150" s="10"/>
    </row>
    <row r="151" spans="1:17" ht="32" x14ac:dyDescent="0.4">
      <c r="A151" s="14">
        <v>11</v>
      </c>
      <c r="B151" s="9" t="s">
        <v>653</v>
      </c>
      <c r="C151" s="9" t="s">
        <v>654</v>
      </c>
      <c r="D151" s="9" t="s">
        <v>655</v>
      </c>
      <c r="E151" s="9" t="s">
        <v>43</v>
      </c>
      <c r="F151" s="9" t="s">
        <v>44</v>
      </c>
      <c r="G151" s="10" t="s">
        <v>656</v>
      </c>
      <c r="H151" s="10">
        <v>3</v>
      </c>
      <c r="I151" s="10" t="s">
        <v>662</v>
      </c>
      <c r="J151" s="10" t="s">
        <v>433</v>
      </c>
      <c r="K151" s="10" t="s">
        <v>492</v>
      </c>
      <c r="L151" s="10" t="s">
        <v>663</v>
      </c>
      <c r="M151" s="10" t="s">
        <v>664</v>
      </c>
      <c r="N151" s="9"/>
      <c r="O151" s="9" t="s">
        <v>51</v>
      </c>
      <c r="P151" s="9"/>
      <c r="Q151" s="10"/>
    </row>
    <row r="152" spans="1:17" ht="32" x14ac:dyDescent="0.4">
      <c r="A152" s="14">
        <v>11</v>
      </c>
      <c r="B152" s="9" t="s">
        <v>653</v>
      </c>
      <c r="C152" s="9" t="s">
        <v>654</v>
      </c>
      <c r="D152" s="9" t="s">
        <v>655</v>
      </c>
      <c r="E152" s="9" t="s">
        <v>43</v>
      </c>
      <c r="F152" s="9" t="s">
        <v>44</v>
      </c>
      <c r="G152" s="10" t="s">
        <v>656</v>
      </c>
      <c r="H152" s="10">
        <v>4</v>
      </c>
      <c r="I152" s="10" t="s">
        <v>665</v>
      </c>
      <c r="J152" s="10" t="s">
        <v>666</v>
      </c>
      <c r="K152" s="10" t="s">
        <v>637</v>
      </c>
      <c r="L152" s="10" t="s">
        <v>667</v>
      </c>
      <c r="M152" s="10" t="s">
        <v>668</v>
      </c>
      <c r="N152" s="9"/>
      <c r="O152" s="9" t="s">
        <v>51</v>
      </c>
      <c r="P152" s="9"/>
      <c r="Q152" s="10"/>
    </row>
    <row r="153" spans="1:17" ht="32" x14ac:dyDescent="0.4">
      <c r="A153" s="14">
        <v>11</v>
      </c>
      <c r="B153" s="9" t="s">
        <v>653</v>
      </c>
      <c r="C153" s="9" t="s">
        <v>654</v>
      </c>
      <c r="D153" s="9" t="s">
        <v>655</v>
      </c>
      <c r="E153" s="9" t="s">
        <v>43</v>
      </c>
      <c r="F153" s="9" t="s">
        <v>44</v>
      </c>
      <c r="G153" s="10" t="s">
        <v>656</v>
      </c>
      <c r="H153" s="10">
        <v>5</v>
      </c>
      <c r="I153" s="10" t="s">
        <v>669</v>
      </c>
      <c r="J153" s="10" t="s">
        <v>75</v>
      </c>
      <c r="K153" s="10" t="s">
        <v>615</v>
      </c>
      <c r="L153" s="10" t="s">
        <v>670</v>
      </c>
      <c r="M153" s="10" t="s">
        <v>671</v>
      </c>
      <c r="N153" s="9"/>
      <c r="O153" s="9" t="s">
        <v>51</v>
      </c>
      <c r="P153" s="9"/>
      <c r="Q153" s="10"/>
    </row>
    <row r="154" spans="1:17" ht="32" x14ac:dyDescent="0.4">
      <c r="A154" s="14">
        <v>11</v>
      </c>
      <c r="B154" s="9" t="s">
        <v>653</v>
      </c>
      <c r="C154" s="9" t="s">
        <v>654</v>
      </c>
      <c r="D154" s="9" t="s">
        <v>655</v>
      </c>
      <c r="E154" s="9" t="s">
        <v>43</v>
      </c>
      <c r="F154" s="9" t="s">
        <v>44</v>
      </c>
      <c r="G154" s="10" t="s">
        <v>656</v>
      </c>
      <c r="H154" s="10">
        <v>6</v>
      </c>
      <c r="I154" s="10" t="s">
        <v>672</v>
      </c>
      <c r="J154" s="10" t="s">
        <v>94</v>
      </c>
      <c r="K154" s="10" t="s">
        <v>587</v>
      </c>
      <c r="L154" s="10" t="s">
        <v>673</v>
      </c>
      <c r="M154" s="10" t="s">
        <v>674</v>
      </c>
      <c r="N154" s="9"/>
      <c r="O154" s="9" t="s">
        <v>51</v>
      </c>
      <c r="P154" s="9"/>
      <c r="Q154" s="10"/>
    </row>
    <row r="155" spans="1:17" ht="32" x14ac:dyDescent="0.4">
      <c r="A155" s="14">
        <v>11</v>
      </c>
      <c r="B155" s="9" t="s">
        <v>653</v>
      </c>
      <c r="C155" s="9" t="s">
        <v>654</v>
      </c>
      <c r="D155" s="9" t="s">
        <v>655</v>
      </c>
      <c r="E155" s="9" t="s">
        <v>43</v>
      </c>
      <c r="F155" s="9" t="s">
        <v>44</v>
      </c>
      <c r="G155" s="10" t="s">
        <v>656</v>
      </c>
      <c r="H155" s="10">
        <v>7</v>
      </c>
      <c r="I155" s="10" t="s">
        <v>675</v>
      </c>
      <c r="J155" s="10" t="s">
        <v>626</v>
      </c>
      <c r="K155" s="10" t="s">
        <v>627</v>
      </c>
      <c r="L155" s="10" t="s">
        <v>658</v>
      </c>
      <c r="M155" s="10" t="s">
        <v>676</v>
      </c>
      <c r="N155" s="9"/>
      <c r="O155" s="9" t="s">
        <v>51</v>
      </c>
      <c r="P155" s="9"/>
      <c r="Q155" s="10"/>
    </row>
    <row r="156" spans="1:17" ht="32" x14ac:dyDescent="0.4">
      <c r="A156" s="14">
        <v>11</v>
      </c>
      <c r="B156" s="9" t="s">
        <v>653</v>
      </c>
      <c r="C156" s="9" t="s">
        <v>677</v>
      </c>
      <c r="D156" s="9" t="s">
        <v>678</v>
      </c>
      <c r="E156" s="9" t="s">
        <v>510</v>
      </c>
      <c r="F156" s="9" t="s">
        <v>101</v>
      </c>
      <c r="G156" s="10" t="s">
        <v>679</v>
      </c>
      <c r="H156" s="10">
        <v>1</v>
      </c>
      <c r="I156" s="10" t="s">
        <v>680</v>
      </c>
      <c r="J156" s="10" t="s">
        <v>433</v>
      </c>
      <c r="K156" s="10" t="s">
        <v>485</v>
      </c>
      <c r="L156" s="10" t="s">
        <v>634</v>
      </c>
      <c r="M156" s="10" t="s">
        <v>681</v>
      </c>
      <c r="N156" s="9"/>
      <c r="O156" s="9" t="s">
        <v>51</v>
      </c>
      <c r="P156" s="9"/>
      <c r="Q156" s="10"/>
    </row>
    <row r="157" spans="1:17" ht="32" x14ac:dyDescent="0.4">
      <c r="A157" s="14">
        <v>11</v>
      </c>
      <c r="B157" s="9" t="s">
        <v>653</v>
      </c>
      <c r="C157" s="9" t="s">
        <v>677</v>
      </c>
      <c r="D157" s="9" t="s">
        <v>678</v>
      </c>
      <c r="E157" s="9" t="s">
        <v>510</v>
      </c>
      <c r="F157" s="9" t="s">
        <v>101</v>
      </c>
      <c r="G157" s="10" t="s">
        <v>679</v>
      </c>
      <c r="H157" s="10">
        <v>2</v>
      </c>
      <c r="I157" s="10" t="s">
        <v>682</v>
      </c>
      <c r="J157" s="10" t="s">
        <v>433</v>
      </c>
      <c r="K157" s="10" t="s">
        <v>567</v>
      </c>
      <c r="L157" s="10" t="s">
        <v>683</v>
      </c>
      <c r="M157" s="10" t="s">
        <v>684</v>
      </c>
      <c r="N157" s="9"/>
      <c r="O157" s="9" t="s">
        <v>51</v>
      </c>
      <c r="P157" s="9"/>
      <c r="Q157" s="10"/>
    </row>
    <row r="158" spans="1:17" ht="32" x14ac:dyDescent="0.4">
      <c r="A158" s="14">
        <v>11</v>
      </c>
      <c r="B158" s="9" t="s">
        <v>653</v>
      </c>
      <c r="C158" s="9" t="s">
        <v>677</v>
      </c>
      <c r="D158" s="9" t="s">
        <v>678</v>
      </c>
      <c r="E158" s="9" t="s">
        <v>510</v>
      </c>
      <c r="F158" s="9" t="s">
        <v>101</v>
      </c>
      <c r="G158" s="10" t="s">
        <v>679</v>
      </c>
      <c r="H158" s="10">
        <v>3</v>
      </c>
      <c r="I158" s="10" t="s">
        <v>685</v>
      </c>
      <c r="J158" s="10" t="s">
        <v>75</v>
      </c>
      <c r="K158" s="10" t="s">
        <v>686</v>
      </c>
      <c r="L158" s="10" t="s">
        <v>687</v>
      </c>
      <c r="M158" s="10" t="s">
        <v>688</v>
      </c>
      <c r="N158" s="9"/>
      <c r="O158" s="9" t="s">
        <v>51</v>
      </c>
      <c r="P158" s="9"/>
      <c r="Q158" s="10"/>
    </row>
    <row r="159" spans="1:17" ht="32" x14ac:dyDescent="0.4">
      <c r="A159" s="14">
        <v>11</v>
      </c>
      <c r="B159" s="9" t="s">
        <v>653</v>
      </c>
      <c r="C159" s="9" t="s">
        <v>677</v>
      </c>
      <c r="D159" s="9" t="s">
        <v>678</v>
      </c>
      <c r="E159" s="9" t="s">
        <v>510</v>
      </c>
      <c r="F159" s="9" t="s">
        <v>101</v>
      </c>
      <c r="G159" s="10" t="s">
        <v>679</v>
      </c>
      <c r="H159" s="10">
        <v>4</v>
      </c>
      <c r="I159" s="10" t="s">
        <v>689</v>
      </c>
      <c r="J159" s="10" t="s">
        <v>94</v>
      </c>
      <c r="K159" s="10" t="s">
        <v>622</v>
      </c>
      <c r="L159" s="10" t="s">
        <v>690</v>
      </c>
      <c r="M159" s="10" t="s">
        <v>691</v>
      </c>
      <c r="N159" s="9"/>
      <c r="O159" s="9" t="s">
        <v>51</v>
      </c>
      <c r="P159" s="9"/>
      <c r="Q159" s="10"/>
    </row>
    <row r="160" spans="1:17" ht="32" x14ac:dyDescent="0.4">
      <c r="A160" s="14">
        <v>11</v>
      </c>
      <c r="B160" s="9" t="s">
        <v>653</v>
      </c>
      <c r="C160" s="9" t="s">
        <v>677</v>
      </c>
      <c r="D160" s="9" t="s">
        <v>678</v>
      </c>
      <c r="E160" s="9" t="s">
        <v>510</v>
      </c>
      <c r="F160" s="9" t="s">
        <v>101</v>
      </c>
      <c r="G160" s="10" t="s">
        <v>679</v>
      </c>
      <c r="H160" s="10">
        <v>5</v>
      </c>
      <c r="I160" s="10" t="s">
        <v>692</v>
      </c>
      <c r="J160" s="10" t="s">
        <v>626</v>
      </c>
      <c r="K160" s="10" t="s">
        <v>627</v>
      </c>
      <c r="L160" s="10" t="s">
        <v>693</v>
      </c>
      <c r="M160" s="10" t="s">
        <v>694</v>
      </c>
      <c r="N160" s="9"/>
      <c r="O160" s="9" t="s">
        <v>51</v>
      </c>
      <c r="P160" s="9"/>
      <c r="Q160" s="10"/>
    </row>
    <row r="161" spans="1:17" ht="32" x14ac:dyDescent="0.4">
      <c r="A161" s="14">
        <v>12</v>
      </c>
      <c r="B161" s="9" t="s">
        <v>695</v>
      </c>
      <c r="C161" s="9" t="s">
        <v>696</v>
      </c>
      <c r="D161" s="9" t="s">
        <v>697</v>
      </c>
      <c r="E161" s="9" t="s">
        <v>43</v>
      </c>
      <c r="F161" s="9" t="s">
        <v>44</v>
      </c>
      <c r="G161" s="10" t="s">
        <v>698</v>
      </c>
      <c r="H161" s="10">
        <v>1</v>
      </c>
      <c r="I161" s="10" t="s">
        <v>699</v>
      </c>
      <c r="J161" s="10" t="s">
        <v>94</v>
      </c>
      <c r="K161" s="10" t="s">
        <v>587</v>
      </c>
      <c r="L161" s="10" t="s">
        <v>700</v>
      </c>
      <c r="M161" s="10" t="s">
        <v>701</v>
      </c>
      <c r="N161" s="9"/>
      <c r="O161" s="9" t="s">
        <v>51</v>
      </c>
      <c r="P161" s="9"/>
      <c r="Q161" s="10"/>
    </row>
    <row r="162" spans="1:17" ht="32" x14ac:dyDescent="0.4">
      <c r="A162" s="14">
        <v>12</v>
      </c>
      <c r="B162" s="9" t="s">
        <v>695</v>
      </c>
      <c r="C162" s="9" t="s">
        <v>696</v>
      </c>
      <c r="D162" s="9" t="s">
        <v>697</v>
      </c>
      <c r="E162" s="9" t="s">
        <v>43</v>
      </c>
      <c r="F162" s="9" t="s">
        <v>44</v>
      </c>
      <c r="G162" s="10" t="s">
        <v>698</v>
      </c>
      <c r="H162" s="10">
        <v>2</v>
      </c>
      <c r="I162" s="10" t="s">
        <v>702</v>
      </c>
      <c r="J162" s="10" t="s">
        <v>75</v>
      </c>
      <c r="K162" s="10" t="s">
        <v>703</v>
      </c>
      <c r="L162" s="10" t="s">
        <v>604</v>
      </c>
      <c r="M162" s="10" t="s">
        <v>704</v>
      </c>
      <c r="N162" s="9"/>
      <c r="O162" s="9" t="s">
        <v>51</v>
      </c>
      <c r="P162" s="9"/>
      <c r="Q162" s="10"/>
    </row>
    <row r="163" spans="1:17" ht="32" x14ac:dyDescent="0.4">
      <c r="A163" s="14">
        <v>12</v>
      </c>
      <c r="B163" s="9" t="s">
        <v>695</v>
      </c>
      <c r="C163" s="9" t="s">
        <v>696</v>
      </c>
      <c r="D163" s="9" t="s">
        <v>697</v>
      </c>
      <c r="E163" s="9" t="s">
        <v>43</v>
      </c>
      <c r="F163" s="9" t="s">
        <v>44</v>
      </c>
      <c r="G163" s="10" t="s">
        <v>698</v>
      </c>
      <c r="H163" s="10">
        <v>3</v>
      </c>
      <c r="I163" s="10" t="s">
        <v>705</v>
      </c>
      <c r="J163" s="10" t="s">
        <v>433</v>
      </c>
      <c r="K163" s="10" t="s">
        <v>706</v>
      </c>
      <c r="L163" s="10" t="s">
        <v>707</v>
      </c>
      <c r="M163" s="10" t="s">
        <v>708</v>
      </c>
      <c r="N163" s="9"/>
      <c r="O163" s="9" t="s">
        <v>51</v>
      </c>
      <c r="P163" s="9"/>
      <c r="Q163" s="10"/>
    </row>
    <row r="164" spans="1:17" ht="32" x14ac:dyDescent="0.4">
      <c r="A164" s="14">
        <v>12</v>
      </c>
      <c r="B164" s="9" t="s">
        <v>695</v>
      </c>
      <c r="C164" s="9" t="s">
        <v>696</v>
      </c>
      <c r="D164" s="9" t="s">
        <v>697</v>
      </c>
      <c r="E164" s="9" t="s">
        <v>43</v>
      </c>
      <c r="F164" s="9" t="s">
        <v>44</v>
      </c>
      <c r="G164" s="10" t="s">
        <v>698</v>
      </c>
      <c r="H164" s="10">
        <v>4</v>
      </c>
      <c r="I164" s="10" t="s">
        <v>709</v>
      </c>
      <c r="J164" s="10" t="s">
        <v>75</v>
      </c>
      <c r="K164" s="10" t="s">
        <v>71</v>
      </c>
      <c r="L164" s="10" t="s">
        <v>710</v>
      </c>
      <c r="M164" s="10" t="s">
        <v>711</v>
      </c>
      <c r="N164" s="9"/>
      <c r="O164" s="9" t="s">
        <v>51</v>
      </c>
      <c r="P164" s="9"/>
      <c r="Q164" s="10"/>
    </row>
    <row r="165" spans="1:17" ht="32" x14ac:dyDescent="0.4">
      <c r="A165" s="14">
        <v>12</v>
      </c>
      <c r="B165" s="9" t="s">
        <v>695</v>
      </c>
      <c r="C165" s="9" t="s">
        <v>696</v>
      </c>
      <c r="D165" s="9" t="s">
        <v>697</v>
      </c>
      <c r="E165" s="9" t="s">
        <v>43</v>
      </c>
      <c r="F165" s="9" t="s">
        <v>44</v>
      </c>
      <c r="G165" s="10" t="s">
        <v>698</v>
      </c>
      <c r="H165" s="10">
        <v>5</v>
      </c>
      <c r="I165" s="10" t="s">
        <v>712</v>
      </c>
      <c r="J165" s="10" t="s">
        <v>75</v>
      </c>
      <c r="K165" s="10" t="s">
        <v>71</v>
      </c>
      <c r="L165" s="10" t="s">
        <v>713</v>
      </c>
      <c r="M165" s="10" t="s">
        <v>714</v>
      </c>
      <c r="N165" s="9"/>
      <c r="O165" s="9" t="s">
        <v>51</v>
      </c>
      <c r="P165" s="9"/>
      <c r="Q165" s="10"/>
    </row>
    <row r="166" spans="1:17" ht="32" x14ac:dyDescent="0.4">
      <c r="A166" s="14">
        <v>12</v>
      </c>
      <c r="B166" s="9" t="s">
        <v>695</v>
      </c>
      <c r="C166" s="9" t="s">
        <v>696</v>
      </c>
      <c r="D166" s="9" t="s">
        <v>697</v>
      </c>
      <c r="E166" s="9" t="s">
        <v>43</v>
      </c>
      <c r="F166" s="9" t="s">
        <v>44</v>
      </c>
      <c r="G166" s="10" t="s">
        <v>698</v>
      </c>
      <c r="H166" s="10">
        <v>6</v>
      </c>
      <c r="I166" s="10" t="s">
        <v>715</v>
      </c>
      <c r="J166" s="10" t="s">
        <v>94</v>
      </c>
      <c r="K166" s="10" t="s">
        <v>587</v>
      </c>
      <c r="L166" s="10" t="s">
        <v>716</v>
      </c>
      <c r="M166" s="10" t="s">
        <v>717</v>
      </c>
      <c r="N166" s="9"/>
      <c r="O166" s="9" t="s">
        <v>51</v>
      </c>
      <c r="P166" s="9"/>
      <c r="Q166" s="10"/>
    </row>
    <row r="167" spans="1:17" ht="32" x14ac:dyDescent="0.4">
      <c r="A167" s="14">
        <v>12</v>
      </c>
      <c r="B167" s="9" t="s">
        <v>695</v>
      </c>
      <c r="C167" s="9" t="s">
        <v>696</v>
      </c>
      <c r="D167" s="9" t="s">
        <v>697</v>
      </c>
      <c r="E167" s="9" t="s">
        <v>43</v>
      </c>
      <c r="F167" s="9" t="s">
        <v>44</v>
      </c>
      <c r="G167" s="10" t="s">
        <v>698</v>
      </c>
      <c r="H167" s="10">
        <v>7</v>
      </c>
      <c r="I167" s="10" t="s">
        <v>718</v>
      </c>
      <c r="J167" s="10" t="s">
        <v>94</v>
      </c>
      <c r="K167" s="10" t="s">
        <v>622</v>
      </c>
      <c r="L167" s="10" t="s">
        <v>719</v>
      </c>
      <c r="M167" s="10" t="s">
        <v>720</v>
      </c>
      <c r="N167" s="9"/>
      <c r="O167" s="9" t="s">
        <v>51</v>
      </c>
      <c r="P167" s="9"/>
      <c r="Q167" s="10"/>
    </row>
    <row r="168" spans="1:17" ht="32" x14ac:dyDescent="0.4">
      <c r="A168" s="14">
        <v>12</v>
      </c>
      <c r="B168" s="9" t="s">
        <v>695</v>
      </c>
      <c r="C168" s="9" t="s">
        <v>696</v>
      </c>
      <c r="D168" s="9" t="s">
        <v>697</v>
      </c>
      <c r="E168" s="9" t="s">
        <v>43</v>
      </c>
      <c r="F168" s="9" t="s">
        <v>44</v>
      </c>
      <c r="G168" s="10" t="s">
        <v>698</v>
      </c>
      <c r="H168" s="10">
        <v>8</v>
      </c>
      <c r="I168" s="10" t="s">
        <v>721</v>
      </c>
      <c r="J168" s="10" t="s">
        <v>89</v>
      </c>
      <c r="K168" s="10" t="s">
        <v>90</v>
      </c>
      <c r="L168" s="10" t="s">
        <v>722</v>
      </c>
      <c r="M168" s="10" t="s">
        <v>723</v>
      </c>
      <c r="N168" s="9"/>
      <c r="O168" s="9" t="s">
        <v>51</v>
      </c>
      <c r="P168" s="9"/>
      <c r="Q168" s="10"/>
    </row>
    <row r="169" spans="1:17" ht="32" x14ac:dyDescent="0.4">
      <c r="A169" s="14">
        <v>12</v>
      </c>
      <c r="B169" s="9" t="s">
        <v>695</v>
      </c>
      <c r="C169" s="9" t="s">
        <v>696</v>
      </c>
      <c r="D169" s="9" t="s">
        <v>697</v>
      </c>
      <c r="E169" s="9" t="s">
        <v>43</v>
      </c>
      <c r="F169" s="9" t="s">
        <v>44</v>
      </c>
      <c r="G169" s="10" t="s">
        <v>698</v>
      </c>
      <c r="H169" s="10">
        <v>9</v>
      </c>
      <c r="I169" s="10" t="s">
        <v>675</v>
      </c>
      <c r="J169" s="10" t="s">
        <v>626</v>
      </c>
      <c r="K169" s="10" t="s">
        <v>724</v>
      </c>
      <c r="L169" s="10" t="s">
        <v>658</v>
      </c>
      <c r="M169" s="10" t="s">
        <v>725</v>
      </c>
      <c r="N169" s="9"/>
      <c r="O169" s="9" t="s">
        <v>51</v>
      </c>
      <c r="P169" s="9"/>
      <c r="Q169" s="10"/>
    </row>
    <row r="170" spans="1:17" ht="32" x14ac:dyDescent="0.4">
      <c r="A170" s="14">
        <v>12</v>
      </c>
      <c r="B170" s="9" t="s">
        <v>695</v>
      </c>
      <c r="C170" s="9" t="s">
        <v>726</v>
      </c>
      <c r="D170" s="9" t="s">
        <v>727</v>
      </c>
      <c r="E170" s="9" t="s">
        <v>100</v>
      </c>
      <c r="F170" s="9" t="s">
        <v>44</v>
      </c>
      <c r="G170" s="10" t="s">
        <v>728</v>
      </c>
      <c r="H170" s="10">
        <v>1</v>
      </c>
      <c r="I170" s="10" t="s">
        <v>729</v>
      </c>
      <c r="J170" s="10" t="s">
        <v>433</v>
      </c>
      <c r="K170" s="10" t="s">
        <v>706</v>
      </c>
      <c r="L170" s="10" t="s">
        <v>730</v>
      </c>
      <c r="M170" s="10" t="s">
        <v>731</v>
      </c>
      <c r="N170" s="9"/>
      <c r="O170" s="9" t="s">
        <v>51</v>
      </c>
      <c r="P170" s="9"/>
      <c r="Q170" s="10"/>
    </row>
    <row r="171" spans="1:17" ht="32" x14ac:dyDescent="0.4">
      <c r="A171" s="14">
        <v>12</v>
      </c>
      <c r="B171" s="9" t="s">
        <v>695</v>
      </c>
      <c r="C171" s="9" t="s">
        <v>726</v>
      </c>
      <c r="D171" s="9" t="s">
        <v>727</v>
      </c>
      <c r="E171" s="9" t="s">
        <v>100</v>
      </c>
      <c r="F171" s="9" t="s">
        <v>44</v>
      </c>
      <c r="G171" s="10" t="s">
        <v>728</v>
      </c>
      <c r="H171" s="10">
        <v>2</v>
      </c>
      <c r="I171" s="10" t="s">
        <v>732</v>
      </c>
      <c r="J171" s="10" t="s">
        <v>523</v>
      </c>
      <c r="K171" s="10" t="s">
        <v>71</v>
      </c>
      <c r="L171" s="10" t="s">
        <v>710</v>
      </c>
      <c r="M171" s="10" t="s">
        <v>733</v>
      </c>
      <c r="N171" s="9"/>
      <c r="O171" s="9" t="s">
        <v>51</v>
      </c>
      <c r="P171" s="9"/>
      <c r="Q171" s="10"/>
    </row>
    <row r="172" spans="1:17" ht="32" x14ac:dyDescent="0.4">
      <c r="A172" s="14">
        <v>12</v>
      </c>
      <c r="B172" s="9" t="s">
        <v>695</v>
      </c>
      <c r="C172" s="9" t="s">
        <v>726</v>
      </c>
      <c r="D172" s="9" t="s">
        <v>727</v>
      </c>
      <c r="E172" s="9" t="s">
        <v>100</v>
      </c>
      <c r="F172" s="9" t="s">
        <v>44</v>
      </c>
      <c r="G172" s="10" t="s">
        <v>728</v>
      </c>
      <c r="H172" s="10">
        <v>3</v>
      </c>
      <c r="I172" s="10" t="s">
        <v>734</v>
      </c>
      <c r="J172" s="10" t="s">
        <v>89</v>
      </c>
      <c r="K172" s="10" t="s">
        <v>90</v>
      </c>
      <c r="L172" s="10" t="s">
        <v>735</v>
      </c>
      <c r="M172" s="10" t="s">
        <v>736</v>
      </c>
      <c r="N172" s="9"/>
      <c r="O172" s="9" t="s">
        <v>51</v>
      </c>
      <c r="P172" s="9"/>
      <c r="Q172" s="10"/>
    </row>
    <row r="173" spans="1:17" ht="32" x14ac:dyDescent="0.4">
      <c r="A173" s="14">
        <v>12</v>
      </c>
      <c r="B173" s="9" t="s">
        <v>695</v>
      </c>
      <c r="C173" s="9" t="s">
        <v>726</v>
      </c>
      <c r="D173" s="9" t="s">
        <v>727</v>
      </c>
      <c r="E173" s="9" t="s">
        <v>100</v>
      </c>
      <c r="F173" s="9" t="s">
        <v>44</v>
      </c>
      <c r="G173" s="10" t="s">
        <v>728</v>
      </c>
      <c r="H173" s="10">
        <v>4</v>
      </c>
      <c r="I173" s="10" t="s">
        <v>737</v>
      </c>
      <c r="J173" s="10" t="s">
        <v>94</v>
      </c>
      <c r="K173" s="10" t="s">
        <v>587</v>
      </c>
      <c r="L173" s="10" t="s">
        <v>738</v>
      </c>
      <c r="M173" s="10" t="s">
        <v>739</v>
      </c>
      <c r="N173" s="9"/>
      <c r="O173" s="9" t="s">
        <v>51</v>
      </c>
      <c r="P173" s="9"/>
      <c r="Q173" s="10"/>
    </row>
    <row r="174" spans="1:17" ht="32" x14ac:dyDescent="0.4">
      <c r="A174" s="14">
        <v>12</v>
      </c>
      <c r="B174" s="9" t="s">
        <v>695</v>
      </c>
      <c r="C174" s="9" t="s">
        <v>726</v>
      </c>
      <c r="D174" s="9" t="s">
        <v>727</v>
      </c>
      <c r="E174" s="9" t="s">
        <v>100</v>
      </c>
      <c r="F174" s="9" t="s">
        <v>44</v>
      </c>
      <c r="G174" s="10" t="s">
        <v>728</v>
      </c>
      <c r="H174" s="10">
        <v>5</v>
      </c>
      <c r="I174" s="10" t="s">
        <v>740</v>
      </c>
      <c r="J174" s="10" t="s">
        <v>666</v>
      </c>
      <c r="K174" s="10" t="s">
        <v>741</v>
      </c>
      <c r="L174" s="10" t="s">
        <v>742</v>
      </c>
      <c r="M174" s="10" t="s">
        <v>743</v>
      </c>
      <c r="N174" s="9"/>
      <c r="O174" s="9" t="s">
        <v>51</v>
      </c>
      <c r="P174" s="9"/>
      <c r="Q174" s="10"/>
    </row>
    <row r="175" spans="1:17" ht="32" x14ac:dyDescent="0.4">
      <c r="A175" s="14">
        <v>13</v>
      </c>
      <c r="B175" s="9" t="s">
        <v>744</v>
      </c>
      <c r="C175" s="9" t="s">
        <v>745</v>
      </c>
      <c r="D175" s="9" t="s">
        <v>746</v>
      </c>
      <c r="E175" s="9" t="s">
        <v>43</v>
      </c>
      <c r="F175" s="9" t="s">
        <v>101</v>
      </c>
      <c r="G175" s="10" t="s">
        <v>747</v>
      </c>
      <c r="H175" s="10">
        <v>1</v>
      </c>
      <c r="I175" s="10" t="s">
        <v>748</v>
      </c>
      <c r="J175" s="10" t="s">
        <v>129</v>
      </c>
      <c r="K175" s="10" t="s">
        <v>7</v>
      </c>
      <c r="L175" s="10" t="s">
        <v>749</v>
      </c>
      <c r="M175" s="10" t="s">
        <v>750</v>
      </c>
      <c r="N175" s="9"/>
      <c r="O175" s="9" t="s">
        <v>51</v>
      </c>
      <c r="P175" s="9"/>
      <c r="Q175" s="10"/>
    </row>
    <row r="176" spans="1:17" ht="32" x14ac:dyDescent="0.4">
      <c r="A176" s="14">
        <v>13</v>
      </c>
      <c r="B176" s="9" t="s">
        <v>744</v>
      </c>
      <c r="C176" s="9" t="s">
        <v>745</v>
      </c>
      <c r="D176" s="9" t="s">
        <v>746</v>
      </c>
      <c r="E176" s="9" t="s">
        <v>43</v>
      </c>
      <c r="F176" s="9" t="s">
        <v>101</v>
      </c>
      <c r="G176" s="10" t="s">
        <v>747</v>
      </c>
      <c r="H176" s="10">
        <v>2</v>
      </c>
      <c r="I176" s="10" t="s">
        <v>751</v>
      </c>
      <c r="J176" s="10" t="s">
        <v>129</v>
      </c>
      <c r="K176" s="10" t="s">
        <v>752</v>
      </c>
      <c r="L176" s="10" t="s">
        <v>753</v>
      </c>
      <c r="M176" s="10" t="s">
        <v>754</v>
      </c>
      <c r="N176" s="9"/>
      <c r="O176" s="9" t="s">
        <v>51</v>
      </c>
      <c r="P176" s="9"/>
      <c r="Q176" s="10"/>
    </row>
    <row r="177" spans="1:17" ht="32" x14ac:dyDescent="0.4">
      <c r="A177" s="14">
        <v>13</v>
      </c>
      <c r="B177" s="9" t="s">
        <v>744</v>
      </c>
      <c r="C177" s="9" t="s">
        <v>745</v>
      </c>
      <c r="D177" s="9" t="s">
        <v>746</v>
      </c>
      <c r="E177" s="9" t="s">
        <v>43</v>
      </c>
      <c r="F177" s="9" t="s">
        <v>101</v>
      </c>
      <c r="G177" s="10" t="s">
        <v>747</v>
      </c>
      <c r="H177" s="10">
        <v>3</v>
      </c>
      <c r="I177" s="10" t="s">
        <v>755</v>
      </c>
      <c r="J177" s="10" t="s">
        <v>756</v>
      </c>
      <c r="K177" s="10" t="s">
        <v>752</v>
      </c>
      <c r="L177" s="10" t="s">
        <v>757</v>
      </c>
      <c r="M177" s="10" t="s">
        <v>758</v>
      </c>
      <c r="N177" s="9"/>
      <c r="O177" s="9" t="s">
        <v>51</v>
      </c>
      <c r="P177" s="9"/>
      <c r="Q177" s="10"/>
    </row>
    <row r="178" spans="1:17" ht="32" x14ac:dyDescent="0.4">
      <c r="A178" s="14">
        <v>13</v>
      </c>
      <c r="B178" s="9" t="s">
        <v>744</v>
      </c>
      <c r="C178" s="9" t="s">
        <v>745</v>
      </c>
      <c r="D178" s="9" t="s">
        <v>746</v>
      </c>
      <c r="E178" s="9" t="s">
        <v>43</v>
      </c>
      <c r="F178" s="9" t="s">
        <v>101</v>
      </c>
      <c r="G178" s="10" t="s">
        <v>747</v>
      </c>
      <c r="H178" s="10">
        <v>4</v>
      </c>
      <c r="I178" s="10" t="s">
        <v>759</v>
      </c>
      <c r="J178" s="10" t="s">
        <v>53</v>
      </c>
      <c r="K178" s="10" t="s">
        <v>760</v>
      </c>
      <c r="L178" s="10" t="s">
        <v>761</v>
      </c>
      <c r="M178" s="10" t="s">
        <v>762</v>
      </c>
      <c r="N178" s="9"/>
      <c r="O178" s="9" t="s">
        <v>51</v>
      </c>
      <c r="P178" s="9"/>
      <c r="Q178" s="10"/>
    </row>
    <row r="179" spans="1:17" ht="32" x14ac:dyDescent="0.4">
      <c r="A179" s="14">
        <v>13</v>
      </c>
      <c r="B179" s="9" t="s">
        <v>744</v>
      </c>
      <c r="C179" s="9" t="s">
        <v>745</v>
      </c>
      <c r="D179" s="9" t="s">
        <v>746</v>
      </c>
      <c r="E179" s="9" t="s">
        <v>43</v>
      </c>
      <c r="F179" s="9" t="s">
        <v>101</v>
      </c>
      <c r="G179" s="10" t="s">
        <v>747</v>
      </c>
      <c r="H179" s="10">
        <v>5</v>
      </c>
      <c r="I179" s="10" t="s">
        <v>763</v>
      </c>
      <c r="J179" s="10" t="s">
        <v>433</v>
      </c>
      <c r="K179" s="10" t="s">
        <v>764</v>
      </c>
      <c r="L179" s="10" t="s">
        <v>765</v>
      </c>
      <c r="M179" s="10" t="s">
        <v>766</v>
      </c>
      <c r="N179" s="9"/>
      <c r="O179" s="9" t="s">
        <v>51</v>
      </c>
      <c r="P179" s="9"/>
      <c r="Q179" s="10"/>
    </row>
    <row r="180" spans="1:17" ht="32" x14ac:dyDescent="0.4">
      <c r="A180" s="14">
        <v>13</v>
      </c>
      <c r="B180" s="9" t="s">
        <v>744</v>
      </c>
      <c r="C180" s="9" t="s">
        <v>745</v>
      </c>
      <c r="D180" s="9" t="s">
        <v>746</v>
      </c>
      <c r="E180" s="9" t="s">
        <v>43</v>
      </c>
      <c r="F180" s="9" t="s">
        <v>101</v>
      </c>
      <c r="G180" s="10" t="s">
        <v>747</v>
      </c>
      <c r="H180" s="10">
        <v>6</v>
      </c>
      <c r="I180" s="10" t="s">
        <v>767</v>
      </c>
      <c r="J180" s="10" t="s">
        <v>449</v>
      </c>
      <c r="K180" s="10" t="s">
        <v>76</v>
      </c>
      <c r="L180" s="10" t="s">
        <v>768</v>
      </c>
      <c r="M180" s="10" t="s">
        <v>769</v>
      </c>
      <c r="N180" s="9"/>
      <c r="O180" s="9" t="s">
        <v>51</v>
      </c>
      <c r="P180" s="9"/>
      <c r="Q180" s="10"/>
    </row>
    <row r="181" spans="1:17" ht="32" x14ac:dyDescent="0.4">
      <c r="A181" s="14">
        <v>13</v>
      </c>
      <c r="B181" s="9" t="s">
        <v>744</v>
      </c>
      <c r="C181" s="9" t="s">
        <v>745</v>
      </c>
      <c r="D181" s="9" t="s">
        <v>746</v>
      </c>
      <c r="E181" s="9" t="s">
        <v>43</v>
      </c>
      <c r="F181" s="9" t="s">
        <v>101</v>
      </c>
      <c r="G181" s="10" t="s">
        <v>747</v>
      </c>
      <c r="H181" s="10">
        <v>7</v>
      </c>
      <c r="I181" s="10" t="s">
        <v>770</v>
      </c>
      <c r="J181" s="10" t="s">
        <v>84</v>
      </c>
      <c r="K181" s="10" t="s">
        <v>771</v>
      </c>
      <c r="L181" s="10" t="s">
        <v>396</v>
      </c>
      <c r="M181" s="10" t="s">
        <v>772</v>
      </c>
      <c r="N181" s="9"/>
      <c r="O181" s="9" t="s">
        <v>51</v>
      </c>
      <c r="P181" s="9"/>
      <c r="Q181" s="10"/>
    </row>
    <row r="182" spans="1:17" ht="32" x14ac:dyDescent="0.4">
      <c r="A182" s="14">
        <v>13</v>
      </c>
      <c r="B182" s="9" t="s">
        <v>744</v>
      </c>
      <c r="C182" s="9" t="s">
        <v>745</v>
      </c>
      <c r="D182" s="9" t="s">
        <v>746</v>
      </c>
      <c r="E182" s="9" t="s">
        <v>43</v>
      </c>
      <c r="F182" s="9" t="s">
        <v>101</v>
      </c>
      <c r="G182" s="10" t="s">
        <v>747</v>
      </c>
      <c r="H182" s="10">
        <v>8</v>
      </c>
      <c r="I182" s="10" t="s">
        <v>773</v>
      </c>
      <c r="J182" s="10" t="s">
        <v>89</v>
      </c>
      <c r="K182" s="10" t="s">
        <v>90</v>
      </c>
      <c r="L182" s="10" t="s">
        <v>461</v>
      </c>
      <c r="M182" s="10" t="s">
        <v>774</v>
      </c>
      <c r="N182" s="9"/>
      <c r="O182" s="9" t="s">
        <v>51</v>
      </c>
      <c r="P182" s="9"/>
      <c r="Q182" s="10"/>
    </row>
    <row r="183" spans="1:17" ht="32" x14ac:dyDescent="0.4">
      <c r="A183" s="14">
        <v>13</v>
      </c>
      <c r="B183" s="9" t="s">
        <v>744</v>
      </c>
      <c r="C183" s="9" t="s">
        <v>745</v>
      </c>
      <c r="D183" s="9" t="s">
        <v>746</v>
      </c>
      <c r="E183" s="9" t="s">
        <v>43</v>
      </c>
      <c r="F183" s="9" t="s">
        <v>101</v>
      </c>
      <c r="G183" s="10" t="s">
        <v>747</v>
      </c>
      <c r="H183" s="10">
        <v>9</v>
      </c>
      <c r="I183" s="10" t="s">
        <v>775</v>
      </c>
      <c r="J183" s="10" t="s">
        <v>776</v>
      </c>
      <c r="K183" s="10" t="s">
        <v>777</v>
      </c>
      <c r="L183" s="10" t="s">
        <v>778</v>
      </c>
      <c r="M183" s="10" t="s">
        <v>779</v>
      </c>
      <c r="N183" s="9"/>
      <c r="O183" s="9" t="s">
        <v>51</v>
      </c>
      <c r="P183" s="9"/>
      <c r="Q183" s="10"/>
    </row>
    <row r="184" spans="1:17" ht="32" x14ac:dyDescent="0.4">
      <c r="A184" s="14">
        <v>13</v>
      </c>
      <c r="B184" s="9" t="s">
        <v>744</v>
      </c>
      <c r="C184" s="9" t="s">
        <v>780</v>
      </c>
      <c r="D184" s="9" t="s">
        <v>781</v>
      </c>
      <c r="E184" s="9" t="s">
        <v>782</v>
      </c>
      <c r="F184" s="9" t="s">
        <v>44</v>
      </c>
      <c r="G184" s="10" t="s">
        <v>783</v>
      </c>
      <c r="H184" s="10">
        <v>1</v>
      </c>
      <c r="I184" s="10" t="s">
        <v>784</v>
      </c>
      <c r="J184" s="10" t="s">
        <v>433</v>
      </c>
      <c r="K184" s="10" t="s">
        <v>764</v>
      </c>
      <c r="L184" s="10" t="s">
        <v>785</v>
      </c>
      <c r="M184" s="10" t="s">
        <v>786</v>
      </c>
      <c r="N184" s="9"/>
      <c r="O184" s="9" t="s">
        <v>51</v>
      </c>
      <c r="P184" s="9"/>
      <c r="Q184" s="10"/>
    </row>
    <row r="185" spans="1:17" ht="32" x14ac:dyDescent="0.4">
      <c r="A185" s="14">
        <v>13</v>
      </c>
      <c r="B185" s="9" t="s">
        <v>744</v>
      </c>
      <c r="C185" s="9" t="s">
        <v>780</v>
      </c>
      <c r="D185" s="9" t="s">
        <v>781</v>
      </c>
      <c r="E185" s="9" t="s">
        <v>782</v>
      </c>
      <c r="F185" s="9" t="s">
        <v>44</v>
      </c>
      <c r="G185" s="10" t="s">
        <v>783</v>
      </c>
      <c r="H185" s="10">
        <v>2</v>
      </c>
      <c r="I185" s="10" t="s">
        <v>787</v>
      </c>
      <c r="J185" s="10" t="s">
        <v>626</v>
      </c>
      <c r="K185" s="10" t="s">
        <v>788</v>
      </c>
      <c r="L185" s="10" t="s">
        <v>789</v>
      </c>
      <c r="M185" s="10" t="s">
        <v>790</v>
      </c>
      <c r="N185" s="9"/>
      <c r="O185" s="9" t="s">
        <v>51</v>
      </c>
      <c r="P185" s="9"/>
      <c r="Q185" s="10"/>
    </row>
    <row r="186" spans="1:17" ht="32" x14ac:dyDescent="0.4">
      <c r="A186" s="14">
        <v>13</v>
      </c>
      <c r="B186" s="9" t="s">
        <v>744</v>
      </c>
      <c r="C186" s="9" t="s">
        <v>780</v>
      </c>
      <c r="D186" s="9" t="s">
        <v>781</v>
      </c>
      <c r="E186" s="9" t="s">
        <v>782</v>
      </c>
      <c r="F186" s="9" t="s">
        <v>44</v>
      </c>
      <c r="G186" s="10" t="s">
        <v>783</v>
      </c>
      <c r="H186" s="10">
        <v>3</v>
      </c>
      <c r="I186" s="10" t="s">
        <v>791</v>
      </c>
      <c r="J186" s="10" t="s">
        <v>75</v>
      </c>
      <c r="K186" s="10" t="s">
        <v>90</v>
      </c>
      <c r="L186" s="10" t="s">
        <v>792</v>
      </c>
      <c r="M186" s="10" t="s">
        <v>793</v>
      </c>
      <c r="N186" s="9"/>
      <c r="O186" s="9" t="s">
        <v>51</v>
      </c>
      <c r="P186" s="9"/>
      <c r="Q186" s="10"/>
    </row>
    <row r="187" spans="1:17" ht="32" x14ac:dyDescent="0.4">
      <c r="A187" s="14">
        <v>13</v>
      </c>
      <c r="B187" s="9" t="s">
        <v>744</v>
      </c>
      <c r="C187" s="9" t="s">
        <v>780</v>
      </c>
      <c r="D187" s="9" t="s">
        <v>781</v>
      </c>
      <c r="E187" s="9" t="s">
        <v>782</v>
      </c>
      <c r="F187" s="9" t="s">
        <v>44</v>
      </c>
      <c r="G187" s="10" t="s">
        <v>783</v>
      </c>
      <c r="H187" s="10">
        <v>4</v>
      </c>
      <c r="I187" s="10" t="s">
        <v>794</v>
      </c>
      <c r="J187" s="10" t="s">
        <v>4</v>
      </c>
      <c r="K187" s="10" t="s">
        <v>795</v>
      </c>
      <c r="L187" s="10" t="s">
        <v>796</v>
      </c>
      <c r="M187" s="10" t="s">
        <v>797</v>
      </c>
      <c r="N187" s="9"/>
      <c r="O187" s="9" t="s">
        <v>51</v>
      </c>
      <c r="P187" s="9"/>
      <c r="Q187" s="10"/>
    </row>
    <row r="188" spans="1:17" ht="32" x14ac:dyDescent="0.4">
      <c r="A188" s="14">
        <v>13</v>
      </c>
      <c r="B188" s="9" t="s">
        <v>744</v>
      </c>
      <c r="C188" s="9" t="s">
        <v>780</v>
      </c>
      <c r="D188" s="9" t="s">
        <v>781</v>
      </c>
      <c r="E188" s="9" t="s">
        <v>782</v>
      </c>
      <c r="F188" s="9" t="s">
        <v>44</v>
      </c>
      <c r="G188" s="10" t="s">
        <v>783</v>
      </c>
      <c r="H188" s="10">
        <v>5</v>
      </c>
      <c r="I188" s="10" t="s">
        <v>798</v>
      </c>
      <c r="J188" s="10" t="s">
        <v>406</v>
      </c>
      <c r="K188" s="10" t="s">
        <v>373</v>
      </c>
      <c r="L188" s="10" t="s">
        <v>799</v>
      </c>
      <c r="M188" s="10" t="s">
        <v>800</v>
      </c>
      <c r="N188" s="9"/>
      <c r="O188" s="9" t="s">
        <v>51</v>
      </c>
      <c r="P188" s="9"/>
      <c r="Q188" s="10"/>
    </row>
    <row r="189" spans="1:17" ht="32" x14ac:dyDescent="0.4">
      <c r="A189" s="14">
        <v>14</v>
      </c>
      <c r="B189" s="9" t="s">
        <v>801</v>
      </c>
      <c r="C189" s="9" t="s">
        <v>802</v>
      </c>
      <c r="D189" s="9" t="s">
        <v>803</v>
      </c>
      <c r="E189" s="9" t="s">
        <v>43</v>
      </c>
      <c r="F189" s="9" t="s">
        <v>101</v>
      </c>
      <c r="G189" s="10" t="s">
        <v>804</v>
      </c>
      <c r="H189" s="10">
        <v>1</v>
      </c>
      <c r="I189" s="10" t="s">
        <v>805</v>
      </c>
      <c r="J189" s="10" t="s">
        <v>129</v>
      </c>
      <c r="K189" s="10" t="s">
        <v>7</v>
      </c>
      <c r="L189" s="10" t="s">
        <v>806</v>
      </c>
      <c r="M189" s="10" t="s">
        <v>807</v>
      </c>
      <c r="N189" s="9"/>
      <c r="O189" s="9" t="s">
        <v>51</v>
      </c>
      <c r="P189" s="9"/>
      <c r="Q189" s="10"/>
    </row>
    <row r="190" spans="1:17" ht="32" x14ac:dyDescent="0.4">
      <c r="A190" s="14">
        <v>14</v>
      </c>
      <c r="B190" s="9" t="s">
        <v>801</v>
      </c>
      <c r="C190" s="9" t="s">
        <v>802</v>
      </c>
      <c r="D190" s="9" t="s">
        <v>803</v>
      </c>
      <c r="E190" s="9" t="s">
        <v>43</v>
      </c>
      <c r="F190" s="9" t="s">
        <v>101</v>
      </c>
      <c r="G190" s="10" t="s">
        <v>804</v>
      </c>
      <c r="H190" s="10">
        <v>2</v>
      </c>
      <c r="I190" s="10" t="s">
        <v>808</v>
      </c>
      <c r="J190" s="10" t="s">
        <v>129</v>
      </c>
      <c r="K190" s="10" t="s">
        <v>7</v>
      </c>
      <c r="L190" s="10" t="s">
        <v>809</v>
      </c>
      <c r="M190" s="10" t="s">
        <v>810</v>
      </c>
      <c r="N190" s="9"/>
      <c r="O190" s="9" t="s">
        <v>51</v>
      </c>
      <c r="P190" s="9"/>
      <c r="Q190" s="10"/>
    </row>
    <row r="191" spans="1:17" ht="32" x14ac:dyDescent="0.4">
      <c r="A191" s="14">
        <v>14</v>
      </c>
      <c r="B191" s="9" t="s">
        <v>801</v>
      </c>
      <c r="C191" s="9" t="s">
        <v>802</v>
      </c>
      <c r="D191" s="9" t="s">
        <v>803</v>
      </c>
      <c r="E191" s="9" t="s">
        <v>43</v>
      </c>
      <c r="F191" s="9" t="s">
        <v>101</v>
      </c>
      <c r="G191" s="10" t="s">
        <v>804</v>
      </c>
      <c r="H191" s="10">
        <v>3</v>
      </c>
      <c r="I191" s="10" t="s">
        <v>811</v>
      </c>
      <c r="J191" s="10" t="s">
        <v>756</v>
      </c>
      <c r="K191" s="10" t="s">
        <v>812</v>
      </c>
      <c r="L191" s="10" t="s">
        <v>813</v>
      </c>
      <c r="M191" s="10" t="s">
        <v>814</v>
      </c>
      <c r="N191" s="9"/>
      <c r="O191" s="9" t="s">
        <v>51</v>
      </c>
      <c r="P191" s="9"/>
      <c r="Q191" s="10"/>
    </row>
    <row r="192" spans="1:17" ht="32" x14ac:dyDescent="0.4">
      <c r="A192" s="14">
        <v>14</v>
      </c>
      <c r="B192" s="9" t="s">
        <v>801</v>
      </c>
      <c r="C192" s="9" t="s">
        <v>802</v>
      </c>
      <c r="D192" s="9" t="s">
        <v>803</v>
      </c>
      <c r="E192" s="9" t="s">
        <v>43</v>
      </c>
      <c r="F192" s="9" t="s">
        <v>101</v>
      </c>
      <c r="G192" s="10" t="s">
        <v>804</v>
      </c>
      <c r="H192" s="10">
        <v>4</v>
      </c>
      <c r="I192" s="10" t="s">
        <v>815</v>
      </c>
      <c r="J192" s="10" t="s">
        <v>816</v>
      </c>
      <c r="K192" s="10" t="s">
        <v>812</v>
      </c>
      <c r="L192" s="10" t="s">
        <v>817</v>
      </c>
      <c r="M192" s="10" t="s">
        <v>818</v>
      </c>
      <c r="N192" s="9"/>
      <c r="O192" s="9" t="s">
        <v>51</v>
      </c>
      <c r="P192" s="9"/>
      <c r="Q192" s="10"/>
    </row>
    <row r="193" spans="1:17" ht="32" x14ac:dyDescent="0.4">
      <c r="A193" s="14">
        <v>14</v>
      </c>
      <c r="B193" s="9" t="s">
        <v>801</v>
      </c>
      <c r="C193" s="9" t="s">
        <v>802</v>
      </c>
      <c r="D193" s="9" t="s">
        <v>803</v>
      </c>
      <c r="E193" s="9" t="s">
        <v>43</v>
      </c>
      <c r="F193" s="9" t="s">
        <v>101</v>
      </c>
      <c r="G193" s="10" t="s">
        <v>804</v>
      </c>
      <c r="H193" s="10">
        <v>5</v>
      </c>
      <c r="I193" s="10" t="s">
        <v>819</v>
      </c>
      <c r="J193" s="10" t="s">
        <v>433</v>
      </c>
      <c r="K193" s="10" t="s">
        <v>19</v>
      </c>
      <c r="L193" s="10" t="s">
        <v>820</v>
      </c>
      <c r="M193" s="10" t="s">
        <v>821</v>
      </c>
      <c r="N193" s="9"/>
      <c r="O193" s="9" t="s">
        <v>51</v>
      </c>
      <c r="P193" s="9"/>
      <c r="Q193" s="10"/>
    </row>
    <row r="194" spans="1:17" ht="32" x14ac:dyDescent="0.4">
      <c r="A194" s="14">
        <v>14</v>
      </c>
      <c r="B194" s="9" t="s">
        <v>801</v>
      </c>
      <c r="C194" s="9" t="s">
        <v>802</v>
      </c>
      <c r="D194" s="9" t="s">
        <v>803</v>
      </c>
      <c r="E194" s="9" t="s">
        <v>43</v>
      </c>
      <c r="F194" s="9" t="s">
        <v>101</v>
      </c>
      <c r="G194" s="10" t="s">
        <v>804</v>
      </c>
      <c r="H194" s="10">
        <v>6</v>
      </c>
      <c r="I194" s="10" t="s">
        <v>822</v>
      </c>
      <c r="J194" s="10" t="s">
        <v>161</v>
      </c>
      <c r="K194" s="10" t="s">
        <v>823</v>
      </c>
      <c r="L194" s="10" t="s">
        <v>824</v>
      </c>
      <c r="M194" s="10" t="s">
        <v>825</v>
      </c>
      <c r="N194" s="9"/>
      <c r="O194" s="9" t="s">
        <v>51</v>
      </c>
      <c r="P194" s="9"/>
      <c r="Q194" s="10"/>
    </row>
    <row r="195" spans="1:17" ht="32" x14ac:dyDescent="0.4">
      <c r="A195" s="14">
        <v>14</v>
      </c>
      <c r="B195" s="9" t="s">
        <v>801</v>
      </c>
      <c r="C195" s="9" t="s">
        <v>802</v>
      </c>
      <c r="D195" s="9" t="s">
        <v>803</v>
      </c>
      <c r="E195" s="9" t="s">
        <v>43</v>
      </c>
      <c r="F195" s="9" t="s">
        <v>101</v>
      </c>
      <c r="G195" s="10" t="s">
        <v>804</v>
      </c>
      <c r="H195" s="10">
        <v>7</v>
      </c>
      <c r="I195" s="10" t="s">
        <v>506</v>
      </c>
      <c r="J195" s="10" t="s">
        <v>89</v>
      </c>
      <c r="K195" s="10" t="s">
        <v>90</v>
      </c>
      <c r="L195" s="10" t="s">
        <v>461</v>
      </c>
      <c r="M195" s="10" t="s">
        <v>826</v>
      </c>
      <c r="N195" s="9"/>
      <c r="O195" s="9" t="s">
        <v>51</v>
      </c>
      <c r="P195" s="9"/>
      <c r="Q195" s="10"/>
    </row>
    <row r="196" spans="1:17" ht="32" x14ac:dyDescent="0.4">
      <c r="A196" s="14">
        <v>14</v>
      </c>
      <c r="B196" s="9" t="s">
        <v>801</v>
      </c>
      <c r="C196" s="9" t="s">
        <v>802</v>
      </c>
      <c r="D196" s="9" t="s">
        <v>803</v>
      </c>
      <c r="E196" s="9" t="s">
        <v>43</v>
      </c>
      <c r="F196" s="9" t="s">
        <v>101</v>
      </c>
      <c r="G196" s="10" t="s">
        <v>804</v>
      </c>
      <c r="H196" s="10">
        <v>8</v>
      </c>
      <c r="I196" s="10" t="s">
        <v>827</v>
      </c>
      <c r="J196" s="10" t="s">
        <v>136</v>
      </c>
      <c r="K196" s="10" t="s">
        <v>137</v>
      </c>
      <c r="L196" s="10" t="s">
        <v>828</v>
      </c>
      <c r="M196" s="10" t="s">
        <v>829</v>
      </c>
      <c r="N196" s="9"/>
      <c r="O196" s="9" t="s">
        <v>51</v>
      </c>
      <c r="P196" s="9"/>
      <c r="Q196" s="10"/>
    </row>
    <row r="197" spans="1:17" ht="32" x14ac:dyDescent="0.4">
      <c r="A197" s="14">
        <v>14</v>
      </c>
      <c r="B197" s="9" t="s">
        <v>801</v>
      </c>
      <c r="C197" s="9" t="s">
        <v>802</v>
      </c>
      <c r="D197" s="9" t="s">
        <v>803</v>
      </c>
      <c r="E197" s="9" t="s">
        <v>43</v>
      </c>
      <c r="F197" s="9" t="s">
        <v>101</v>
      </c>
      <c r="G197" s="10" t="s">
        <v>804</v>
      </c>
      <c r="H197" s="10">
        <v>9</v>
      </c>
      <c r="I197" s="10" t="s">
        <v>830</v>
      </c>
      <c r="J197" s="10" t="s">
        <v>776</v>
      </c>
      <c r="K197" s="10" t="s">
        <v>831</v>
      </c>
      <c r="L197" s="10" t="s">
        <v>832</v>
      </c>
      <c r="M197" s="10" t="s">
        <v>833</v>
      </c>
      <c r="N197" s="9"/>
      <c r="O197" s="9" t="s">
        <v>51</v>
      </c>
      <c r="P197" s="9"/>
      <c r="Q197" s="10"/>
    </row>
    <row r="198" spans="1:17" ht="32" x14ac:dyDescent="0.4">
      <c r="A198" s="14">
        <v>14</v>
      </c>
      <c r="B198" s="9" t="s">
        <v>801</v>
      </c>
      <c r="C198" s="9" t="s">
        <v>834</v>
      </c>
      <c r="D198" s="9" t="s">
        <v>835</v>
      </c>
      <c r="E198" s="9" t="s">
        <v>100</v>
      </c>
      <c r="F198" s="9" t="s">
        <v>101</v>
      </c>
      <c r="G198" s="10" t="s">
        <v>836</v>
      </c>
      <c r="H198" s="10">
        <v>1</v>
      </c>
      <c r="I198" s="10" t="s">
        <v>837</v>
      </c>
      <c r="J198" s="10" t="s">
        <v>433</v>
      </c>
      <c r="K198" s="10" t="s">
        <v>838</v>
      </c>
      <c r="L198" s="10" t="s">
        <v>839</v>
      </c>
      <c r="M198" s="10" t="s">
        <v>840</v>
      </c>
      <c r="N198" s="9"/>
      <c r="O198" s="9" t="s">
        <v>51</v>
      </c>
      <c r="P198" s="9"/>
      <c r="Q198" s="10"/>
    </row>
    <row r="199" spans="1:17" ht="32" x14ac:dyDescent="0.4">
      <c r="A199" s="14">
        <v>14</v>
      </c>
      <c r="B199" s="9" t="s">
        <v>801</v>
      </c>
      <c r="C199" s="9" t="s">
        <v>834</v>
      </c>
      <c r="D199" s="9" t="s">
        <v>835</v>
      </c>
      <c r="E199" s="9" t="s">
        <v>100</v>
      </c>
      <c r="F199" s="9" t="s">
        <v>101</v>
      </c>
      <c r="G199" s="10" t="s">
        <v>836</v>
      </c>
      <c r="H199" s="10">
        <v>2</v>
      </c>
      <c r="I199" s="10" t="s">
        <v>841</v>
      </c>
      <c r="J199" s="10" t="s">
        <v>433</v>
      </c>
      <c r="K199" s="10" t="s">
        <v>842</v>
      </c>
      <c r="L199" s="10" t="s">
        <v>843</v>
      </c>
      <c r="M199" s="10" t="s">
        <v>844</v>
      </c>
      <c r="N199" s="9"/>
      <c r="O199" s="9" t="s">
        <v>51</v>
      </c>
      <c r="P199" s="9"/>
      <c r="Q199" s="10"/>
    </row>
    <row r="200" spans="1:17" ht="32" x14ac:dyDescent="0.4">
      <c r="A200" s="14">
        <v>14</v>
      </c>
      <c r="B200" s="9" t="s">
        <v>801</v>
      </c>
      <c r="C200" s="9" t="s">
        <v>834</v>
      </c>
      <c r="D200" s="9" t="s">
        <v>835</v>
      </c>
      <c r="E200" s="9" t="s">
        <v>100</v>
      </c>
      <c r="F200" s="9" t="s">
        <v>101</v>
      </c>
      <c r="G200" s="10" t="s">
        <v>836</v>
      </c>
      <c r="H200" s="10">
        <v>3</v>
      </c>
      <c r="I200" s="10" t="s">
        <v>845</v>
      </c>
      <c r="J200" s="10" t="s">
        <v>626</v>
      </c>
      <c r="K200" s="10" t="s">
        <v>524</v>
      </c>
      <c r="L200" s="10" t="s">
        <v>846</v>
      </c>
      <c r="M200" s="10" t="s">
        <v>847</v>
      </c>
      <c r="N200" s="9"/>
      <c r="O200" s="9" t="s">
        <v>51</v>
      </c>
      <c r="P200" s="9"/>
      <c r="Q200" s="10"/>
    </row>
    <row r="201" spans="1:17" ht="32" x14ac:dyDescent="0.4">
      <c r="A201" s="14">
        <v>14</v>
      </c>
      <c r="B201" s="9" t="s">
        <v>801</v>
      </c>
      <c r="C201" s="9" t="s">
        <v>834</v>
      </c>
      <c r="D201" s="9" t="s">
        <v>835</v>
      </c>
      <c r="E201" s="9" t="s">
        <v>100</v>
      </c>
      <c r="F201" s="9" t="s">
        <v>101</v>
      </c>
      <c r="G201" s="10" t="s">
        <v>836</v>
      </c>
      <c r="H201" s="10">
        <v>4</v>
      </c>
      <c r="I201" s="10" t="s">
        <v>848</v>
      </c>
      <c r="J201" s="10" t="s">
        <v>169</v>
      </c>
      <c r="K201" s="10" t="s">
        <v>170</v>
      </c>
      <c r="L201" s="10" t="s">
        <v>849</v>
      </c>
      <c r="M201" s="10" t="s">
        <v>850</v>
      </c>
      <c r="N201" s="9"/>
      <c r="O201" s="9" t="s">
        <v>51</v>
      </c>
      <c r="P201" s="9"/>
      <c r="Q201" s="10"/>
    </row>
    <row r="202" spans="1:17" ht="32" x14ac:dyDescent="0.4">
      <c r="A202" s="14">
        <v>14</v>
      </c>
      <c r="B202" s="9" t="s">
        <v>801</v>
      </c>
      <c r="C202" s="9" t="s">
        <v>834</v>
      </c>
      <c r="D202" s="9" t="s">
        <v>835</v>
      </c>
      <c r="E202" s="9" t="s">
        <v>100</v>
      </c>
      <c r="F202" s="9" t="s">
        <v>101</v>
      </c>
      <c r="G202" s="10" t="s">
        <v>836</v>
      </c>
      <c r="H202" s="10">
        <v>5</v>
      </c>
      <c r="I202" s="10" t="s">
        <v>851</v>
      </c>
      <c r="J202" s="10" t="s">
        <v>129</v>
      </c>
      <c r="K202" s="10" t="s">
        <v>7</v>
      </c>
      <c r="L202" s="10" t="s">
        <v>852</v>
      </c>
      <c r="M202" s="10" t="s">
        <v>853</v>
      </c>
      <c r="N202" s="9"/>
      <c r="O202" s="9" t="s">
        <v>51</v>
      </c>
      <c r="P202" s="9"/>
      <c r="Q202" s="10"/>
    </row>
    <row r="203" spans="1:17" ht="32" x14ac:dyDescent="0.4">
      <c r="A203" s="14">
        <v>15</v>
      </c>
      <c r="B203" s="9" t="s">
        <v>854</v>
      </c>
      <c r="C203" s="9" t="s">
        <v>855</v>
      </c>
      <c r="D203" s="9" t="s">
        <v>856</v>
      </c>
      <c r="E203" s="9" t="s">
        <v>43</v>
      </c>
      <c r="F203" s="9" t="s">
        <v>101</v>
      </c>
      <c r="G203" s="10" t="s">
        <v>857</v>
      </c>
      <c r="H203" s="10">
        <v>1</v>
      </c>
      <c r="I203" s="10" t="s">
        <v>858</v>
      </c>
      <c r="J203" s="10" t="s">
        <v>129</v>
      </c>
      <c r="K203" s="10" t="s">
        <v>7</v>
      </c>
      <c r="L203" s="10" t="s">
        <v>859</v>
      </c>
      <c r="M203" s="10" t="s">
        <v>860</v>
      </c>
      <c r="N203" s="9"/>
      <c r="O203" s="9" t="s">
        <v>51</v>
      </c>
      <c r="P203" s="9"/>
      <c r="Q203" s="10"/>
    </row>
    <row r="204" spans="1:17" ht="32" x14ac:dyDescent="0.4">
      <c r="A204" s="14">
        <v>15</v>
      </c>
      <c r="B204" s="9" t="s">
        <v>854</v>
      </c>
      <c r="C204" s="9" t="s">
        <v>855</v>
      </c>
      <c r="D204" s="9" t="s">
        <v>856</v>
      </c>
      <c r="E204" s="9" t="s">
        <v>43</v>
      </c>
      <c r="F204" s="9" t="s">
        <v>101</v>
      </c>
      <c r="G204" s="10" t="s">
        <v>857</v>
      </c>
      <c r="H204" s="10">
        <v>2</v>
      </c>
      <c r="I204" s="10" t="s">
        <v>861</v>
      </c>
      <c r="J204" s="10" t="s">
        <v>136</v>
      </c>
      <c r="K204" s="10" t="s">
        <v>137</v>
      </c>
      <c r="L204" s="10" t="s">
        <v>862</v>
      </c>
      <c r="M204" s="10" t="s">
        <v>863</v>
      </c>
      <c r="N204" s="9"/>
      <c r="O204" s="9" t="s">
        <v>51</v>
      </c>
      <c r="P204" s="9"/>
      <c r="Q204" s="10"/>
    </row>
    <row r="205" spans="1:17" ht="32" x14ac:dyDescent="0.4">
      <c r="A205" s="14">
        <v>15</v>
      </c>
      <c r="B205" s="9" t="s">
        <v>854</v>
      </c>
      <c r="C205" s="9" t="s">
        <v>855</v>
      </c>
      <c r="D205" s="9" t="s">
        <v>856</v>
      </c>
      <c r="E205" s="9" t="s">
        <v>43</v>
      </c>
      <c r="F205" s="9" t="s">
        <v>101</v>
      </c>
      <c r="G205" s="10" t="s">
        <v>857</v>
      </c>
      <c r="H205" s="10">
        <v>3</v>
      </c>
      <c r="I205" s="10" t="s">
        <v>864</v>
      </c>
      <c r="J205" s="10" t="s">
        <v>129</v>
      </c>
      <c r="K205" s="10" t="s">
        <v>7</v>
      </c>
      <c r="L205" s="10" t="s">
        <v>865</v>
      </c>
      <c r="M205" s="10" t="s">
        <v>866</v>
      </c>
      <c r="N205" s="9"/>
      <c r="O205" s="9" t="s">
        <v>51</v>
      </c>
      <c r="P205" s="9"/>
      <c r="Q205" s="10"/>
    </row>
    <row r="206" spans="1:17" ht="32" x14ac:dyDescent="0.4">
      <c r="A206" s="14">
        <v>15</v>
      </c>
      <c r="B206" s="9" t="s">
        <v>854</v>
      </c>
      <c r="C206" s="9" t="s">
        <v>855</v>
      </c>
      <c r="D206" s="9" t="s">
        <v>856</v>
      </c>
      <c r="E206" s="9" t="s">
        <v>43</v>
      </c>
      <c r="F206" s="9" t="s">
        <v>101</v>
      </c>
      <c r="G206" s="10" t="s">
        <v>857</v>
      </c>
      <c r="H206" s="10">
        <v>4</v>
      </c>
      <c r="I206" s="10" t="s">
        <v>867</v>
      </c>
      <c r="J206" s="10" t="s">
        <v>53</v>
      </c>
      <c r="K206" s="10" t="s">
        <v>7</v>
      </c>
      <c r="L206" s="10" t="s">
        <v>868</v>
      </c>
      <c r="M206" s="10" t="s">
        <v>869</v>
      </c>
      <c r="N206" s="9"/>
      <c r="O206" s="9" t="s">
        <v>51</v>
      </c>
      <c r="P206" s="9"/>
      <c r="Q206" s="10"/>
    </row>
    <row r="207" spans="1:17" ht="32" x14ac:dyDescent="0.4">
      <c r="A207" s="14">
        <v>15</v>
      </c>
      <c r="B207" s="9" t="s">
        <v>854</v>
      </c>
      <c r="C207" s="9" t="s">
        <v>855</v>
      </c>
      <c r="D207" s="9" t="s">
        <v>856</v>
      </c>
      <c r="E207" s="9" t="s">
        <v>43</v>
      </c>
      <c r="F207" s="9" t="s">
        <v>101</v>
      </c>
      <c r="G207" s="10" t="s">
        <v>857</v>
      </c>
      <c r="H207" s="10">
        <v>5</v>
      </c>
      <c r="I207" s="10" t="s">
        <v>870</v>
      </c>
      <c r="J207" s="10" t="s">
        <v>871</v>
      </c>
      <c r="K207" s="10" t="s">
        <v>872</v>
      </c>
      <c r="L207" s="10" t="s">
        <v>873</v>
      </c>
      <c r="M207" s="10" t="s">
        <v>874</v>
      </c>
      <c r="N207" s="9"/>
      <c r="O207" s="9" t="s">
        <v>51</v>
      </c>
      <c r="P207" s="9"/>
      <c r="Q207" s="10"/>
    </row>
    <row r="208" spans="1:17" ht="32" x14ac:dyDescent="0.4">
      <c r="A208" s="14">
        <v>15</v>
      </c>
      <c r="B208" s="9" t="s">
        <v>854</v>
      </c>
      <c r="C208" s="9" t="s">
        <v>855</v>
      </c>
      <c r="D208" s="9" t="s">
        <v>856</v>
      </c>
      <c r="E208" s="9" t="s">
        <v>43</v>
      </c>
      <c r="F208" s="9" t="s">
        <v>101</v>
      </c>
      <c r="G208" s="10" t="s">
        <v>857</v>
      </c>
      <c r="H208" s="10">
        <v>6</v>
      </c>
      <c r="I208" s="10" t="s">
        <v>875</v>
      </c>
      <c r="J208" s="10" t="s">
        <v>449</v>
      </c>
      <c r="K208" s="10" t="s">
        <v>876</v>
      </c>
      <c r="L208" s="10" t="s">
        <v>877</v>
      </c>
      <c r="M208" s="10" t="s">
        <v>878</v>
      </c>
      <c r="N208" s="9"/>
      <c r="O208" s="9" t="s">
        <v>51</v>
      </c>
      <c r="P208" s="9"/>
      <c r="Q208" s="10"/>
    </row>
    <row r="209" spans="1:17" ht="32" x14ac:dyDescent="0.4">
      <c r="A209" s="14">
        <v>15</v>
      </c>
      <c r="B209" s="9" t="s">
        <v>854</v>
      </c>
      <c r="C209" s="9" t="s">
        <v>855</v>
      </c>
      <c r="D209" s="9" t="s">
        <v>856</v>
      </c>
      <c r="E209" s="9" t="s">
        <v>43</v>
      </c>
      <c r="F209" s="9" t="s">
        <v>101</v>
      </c>
      <c r="G209" s="10" t="s">
        <v>857</v>
      </c>
      <c r="H209" s="10">
        <v>7</v>
      </c>
      <c r="I209" s="10" t="s">
        <v>879</v>
      </c>
      <c r="J209" s="10" t="s">
        <v>84</v>
      </c>
      <c r="K209" s="10" t="s">
        <v>333</v>
      </c>
      <c r="L209" s="10" t="s">
        <v>396</v>
      </c>
      <c r="M209" s="10" t="s">
        <v>880</v>
      </c>
      <c r="N209" s="9"/>
      <c r="O209" s="9" t="s">
        <v>51</v>
      </c>
      <c r="P209" s="9"/>
      <c r="Q209" s="10"/>
    </row>
    <row r="210" spans="1:17" ht="32" x14ac:dyDescent="0.4">
      <c r="A210" s="14">
        <v>15</v>
      </c>
      <c r="B210" s="9" t="s">
        <v>854</v>
      </c>
      <c r="C210" s="9" t="s">
        <v>855</v>
      </c>
      <c r="D210" s="9" t="s">
        <v>856</v>
      </c>
      <c r="E210" s="9" t="s">
        <v>43</v>
      </c>
      <c r="F210" s="9" t="s">
        <v>101</v>
      </c>
      <c r="G210" s="10" t="s">
        <v>857</v>
      </c>
      <c r="H210" s="10">
        <v>8</v>
      </c>
      <c r="I210" s="10" t="s">
        <v>773</v>
      </c>
      <c r="J210" s="10" t="s">
        <v>89</v>
      </c>
      <c r="K210" s="10" t="s">
        <v>90</v>
      </c>
      <c r="L210" s="10" t="s">
        <v>461</v>
      </c>
      <c r="M210" s="10" t="s">
        <v>881</v>
      </c>
      <c r="N210" s="9"/>
      <c r="O210" s="9" t="s">
        <v>51</v>
      </c>
      <c r="P210" s="9"/>
      <c r="Q210" s="10"/>
    </row>
    <row r="211" spans="1:17" ht="32" x14ac:dyDescent="0.4">
      <c r="A211" s="14">
        <v>15</v>
      </c>
      <c r="B211" s="9" t="s">
        <v>854</v>
      </c>
      <c r="C211" s="9" t="s">
        <v>855</v>
      </c>
      <c r="D211" s="9" t="s">
        <v>856</v>
      </c>
      <c r="E211" s="9" t="s">
        <v>43</v>
      </c>
      <c r="F211" s="9" t="s">
        <v>101</v>
      </c>
      <c r="G211" s="10" t="s">
        <v>857</v>
      </c>
      <c r="H211" s="10">
        <v>9</v>
      </c>
      <c r="I211" s="10" t="s">
        <v>882</v>
      </c>
      <c r="J211" s="10" t="s">
        <v>883</v>
      </c>
      <c r="K211" s="10" t="s">
        <v>884</v>
      </c>
      <c r="L211" s="10" t="s">
        <v>885</v>
      </c>
      <c r="M211" s="10" t="s">
        <v>886</v>
      </c>
      <c r="N211" s="9"/>
      <c r="O211" s="9" t="s">
        <v>51</v>
      </c>
      <c r="P211" s="9"/>
      <c r="Q211" s="10"/>
    </row>
    <row r="212" spans="1:17" ht="32" x14ac:dyDescent="0.4">
      <c r="A212" s="14">
        <v>15</v>
      </c>
      <c r="B212" s="9" t="s">
        <v>854</v>
      </c>
      <c r="C212" s="9" t="s">
        <v>887</v>
      </c>
      <c r="D212" s="9" t="s">
        <v>888</v>
      </c>
      <c r="E212" s="9" t="s">
        <v>782</v>
      </c>
      <c r="F212" s="9" t="s">
        <v>44</v>
      </c>
      <c r="G212" s="10" t="s">
        <v>889</v>
      </c>
      <c r="H212" s="10">
        <v>1</v>
      </c>
      <c r="I212" s="10" t="s">
        <v>890</v>
      </c>
      <c r="J212" s="10" t="s">
        <v>891</v>
      </c>
      <c r="K212" s="10" t="s">
        <v>872</v>
      </c>
      <c r="L212" s="10" t="s">
        <v>892</v>
      </c>
      <c r="M212" s="10" t="s">
        <v>893</v>
      </c>
      <c r="N212" s="9"/>
      <c r="O212" s="9" t="s">
        <v>51</v>
      </c>
      <c r="P212" s="9"/>
      <c r="Q212" s="10"/>
    </row>
    <row r="213" spans="1:17" ht="32" x14ac:dyDescent="0.4">
      <c r="A213" s="14">
        <v>15</v>
      </c>
      <c r="B213" s="9" t="s">
        <v>854</v>
      </c>
      <c r="C213" s="9" t="s">
        <v>887</v>
      </c>
      <c r="D213" s="9" t="s">
        <v>888</v>
      </c>
      <c r="E213" s="9" t="s">
        <v>782</v>
      </c>
      <c r="F213" s="9" t="s">
        <v>44</v>
      </c>
      <c r="G213" s="10" t="s">
        <v>889</v>
      </c>
      <c r="H213" s="10">
        <v>2</v>
      </c>
      <c r="I213" s="10" t="s">
        <v>894</v>
      </c>
      <c r="J213" s="10" t="s">
        <v>75</v>
      </c>
      <c r="K213" s="10" t="s">
        <v>876</v>
      </c>
      <c r="L213" s="10" t="s">
        <v>895</v>
      </c>
      <c r="M213" s="10" t="s">
        <v>896</v>
      </c>
      <c r="N213" s="9"/>
      <c r="O213" s="9" t="s">
        <v>51</v>
      </c>
      <c r="P213" s="9"/>
      <c r="Q213" s="10"/>
    </row>
    <row r="214" spans="1:17" ht="32" x14ac:dyDescent="0.4">
      <c r="A214" s="14">
        <v>15</v>
      </c>
      <c r="B214" s="9" t="s">
        <v>854</v>
      </c>
      <c r="C214" s="9" t="s">
        <v>887</v>
      </c>
      <c r="D214" s="9" t="s">
        <v>888</v>
      </c>
      <c r="E214" s="9" t="s">
        <v>782</v>
      </c>
      <c r="F214" s="9" t="s">
        <v>44</v>
      </c>
      <c r="G214" s="10" t="s">
        <v>889</v>
      </c>
      <c r="H214" s="10">
        <v>3</v>
      </c>
      <c r="I214" s="10" t="s">
        <v>897</v>
      </c>
      <c r="J214" s="10" t="s">
        <v>626</v>
      </c>
      <c r="K214" s="10" t="s">
        <v>872</v>
      </c>
      <c r="L214" s="10" t="s">
        <v>898</v>
      </c>
      <c r="M214" s="10" t="s">
        <v>899</v>
      </c>
      <c r="N214" s="9"/>
      <c r="O214" s="9" t="s">
        <v>51</v>
      </c>
      <c r="P214" s="9"/>
      <c r="Q214" s="10"/>
    </row>
    <row r="215" spans="1:17" ht="32" x14ac:dyDescent="0.4">
      <c r="A215" s="14">
        <v>15</v>
      </c>
      <c r="B215" s="9" t="s">
        <v>854</v>
      </c>
      <c r="C215" s="9" t="s">
        <v>887</v>
      </c>
      <c r="D215" s="9" t="s">
        <v>888</v>
      </c>
      <c r="E215" s="9" t="s">
        <v>782</v>
      </c>
      <c r="F215" s="9" t="s">
        <v>44</v>
      </c>
      <c r="G215" s="10" t="s">
        <v>889</v>
      </c>
      <c r="H215" s="10">
        <v>4</v>
      </c>
      <c r="I215" s="10" t="s">
        <v>900</v>
      </c>
      <c r="J215" s="10" t="s">
        <v>891</v>
      </c>
      <c r="K215" s="10" t="s">
        <v>872</v>
      </c>
      <c r="L215" s="10" t="s">
        <v>901</v>
      </c>
      <c r="M215" s="10" t="s">
        <v>902</v>
      </c>
      <c r="N215" s="9"/>
      <c r="O215" s="9" t="s">
        <v>51</v>
      </c>
      <c r="P215" s="9"/>
      <c r="Q215" s="10"/>
    </row>
    <row r="216" spans="1:17" ht="32" x14ac:dyDescent="0.4">
      <c r="A216" s="14">
        <v>15</v>
      </c>
      <c r="B216" s="9" t="s">
        <v>854</v>
      </c>
      <c r="C216" s="9" t="s">
        <v>887</v>
      </c>
      <c r="D216" s="9" t="s">
        <v>888</v>
      </c>
      <c r="E216" s="9" t="s">
        <v>782</v>
      </c>
      <c r="F216" s="9" t="s">
        <v>44</v>
      </c>
      <c r="G216" s="10" t="s">
        <v>889</v>
      </c>
      <c r="H216" s="10">
        <v>5</v>
      </c>
      <c r="I216" s="10" t="s">
        <v>903</v>
      </c>
      <c r="J216" s="10" t="s">
        <v>406</v>
      </c>
      <c r="K216" s="10" t="s">
        <v>904</v>
      </c>
      <c r="L216" s="10" t="s">
        <v>905</v>
      </c>
      <c r="M216" s="10" t="s">
        <v>906</v>
      </c>
      <c r="N216" s="9"/>
      <c r="O216" s="9" t="s">
        <v>51</v>
      </c>
      <c r="P216" s="9"/>
      <c r="Q216" s="10"/>
    </row>
    <row r="217" spans="1:17" ht="32" x14ac:dyDescent="0.4">
      <c r="A217" s="14">
        <v>16</v>
      </c>
      <c r="B217" s="9" t="s">
        <v>907</v>
      </c>
      <c r="C217" s="9" t="s">
        <v>908</v>
      </c>
      <c r="D217" s="9" t="s">
        <v>909</v>
      </c>
      <c r="E217" s="9" t="s">
        <v>43</v>
      </c>
      <c r="F217" s="9" t="s">
        <v>44</v>
      </c>
      <c r="G217" s="10" t="s">
        <v>910</v>
      </c>
      <c r="H217" s="10">
        <v>1</v>
      </c>
      <c r="I217" s="10" t="s">
        <v>911</v>
      </c>
      <c r="J217" s="10" t="s">
        <v>129</v>
      </c>
      <c r="K217" s="10" t="s">
        <v>7</v>
      </c>
      <c r="L217" s="10" t="s">
        <v>912</v>
      </c>
      <c r="M217" s="10" t="s">
        <v>913</v>
      </c>
      <c r="N217" s="9"/>
      <c r="O217" s="9" t="s">
        <v>51</v>
      </c>
      <c r="P217" s="9"/>
      <c r="Q217" s="10"/>
    </row>
    <row r="218" spans="1:17" ht="32" x14ac:dyDescent="0.4">
      <c r="A218" s="14">
        <v>16</v>
      </c>
      <c r="B218" s="9" t="s">
        <v>907</v>
      </c>
      <c r="C218" s="9" t="s">
        <v>908</v>
      </c>
      <c r="D218" s="9" t="s">
        <v>909</v>
      </c>
      <c r="E218" s="9" t="s">
        <v>43</v>
      </c>
      <c r="F218" s="9" t="s">
        <v>44</v>
      </c>
      <c r="G218" s="10" t="s">
        <v>910</v>
      </c>
      <c r="H218" s="10">
        <v>2</v>
      </c>
      <c r="I218" s="10" t="s">
        <v>914</v>
      </c>
      <c r="J218" s="10" t="s">
        <v>136</v>
      </c>
      <c r="K218" s="10" t="s">
        <v>137</v>
      </c>
      <c r="L218" s="10" t="s">
        <v>915</v>
      </c>
      <c r="M218" s="10" t="s">
        <v>916</v>
      </c>
      <c r="N218" s="9"/>
      <c r="O218" s="9" t="s">
        <v>51</v>
      </c>
      <c r="P218" s="9"/>
      <c r="Q218" s="10"/>
    </row>
    <row r="219" spans="1:17" ht="32" x14ac:dyDescent="0.4">
      <c r="A219" s="14">
        <v>16</v>
      </c>
      <c r="B219" s="9" t="s">
        <v>907</v>
      </c>
      <c r="C219" s="9" t="s">
        <v>908</v>
      </c>
      <c r="D219" s="9" t="s">
        <v>909</v>
      </c>
      <c r="E219" s="9" t="s">
        <v>43</v>
      </c>
      <c r="F219" s="9" t="s">
        <v>44</v>
      </c>
      <c r="G219" s="10" t="s">
        <v>910</v>
      </c>
      <c r="H219" s="10">
        <v>3</v>
      </c>
      <c r="I219" s="10" t="s">
        <v>917</v>
      </c>
      <c r="J219" s="10" t="s">
        <v>756</v>
      </c>
      <c r="K219" s="10" t="s">
        <v>812</v>
      </c>
      <c r="L219" s="10" t="s">
        <v>918</v>
      </c>
      <c r="M219" s="10" t="s">
        <v>919</v>
      </c>
      <c r="N219" s="9"/>
      <c r="O219" s="9" t="s">
        <v>51</v>
      </c>
      <c r="P219" s="9"/>
      <c r="Q219" s="10"/>
    </row>
    <row r="220" spans="1:17" ht="32" x14ac:dyDescent="0.4">
      <c r="A220" s="14">
        <v>16</v>
      </c>
      <c r="B220" s="9" t="s">
        <v>907</v>
      </c>
      <c r="C220" s="9" t="s">
        <v>908</v>
      </c>
      <c r="D220" s="9" t="s">
        <v>909</v>
      </c>
      <c r="E220" s="9" t="s">
        <v>43</v>
      </c>
      <c r="F220" s="9" t="s">
        <v>44</v>
      </c>
      <c r="G220" s="10" t="s">
        <v>910</v>
      </c>
      <c r="H220" s="10">
        <v>4</v>
      </c>
      <c r="I220" s="10" t="s">
        <v>920</v>
      </c>
      <c r="J220" s="10" t="s">
        <v>53</v>
      </c>
      <c r="K220" s="10" t="s">
        <v>838</v>
      </c>
      <c r="L220" s="10" t="s">
        <v>921</v>
      </c>
      <c r="M220" s="10" t="s">
        <v>922</v>
      </c>
      <c r="N220" s="9"/>
      <c r="O220" s="9" t="s">
        <v>51</v>
      </c>
      <c r="P220" s="9"/>
      <c r="Q220" s="10"/>
    </row>
    <row r="221" spans="1:17" ht="32" x14ac:dyDescent="0.4">
      <c r="A221" s="14">
        <v>16</v>
      </c>
      <c r="B221" s="9" t="s">
        <v>907</v>
      </c>
      <c r="C221" s="9" t="s">
        <v>908</v>
      </c>
      <c r="D221" s="9" t="s">
        <v>909</v>
      </c>
      <c r="E221" s="9" t="s">
        <v>43</v>
      </c>
      <c r="F221" s="9" t="s">
        <v>44</v>
      </c>
      <c r="G221" s="10" t="s">
        <v>910</v>
      </c>
      <c r="H221" s="10">
        <v>5</v>
      </c>
      <c r="I221" s="10" t="s">
        <v>923</v>
      </c>
      <c r="J221" s="10" t="s">
        <v>214</v>
      </c>
      <c r="K221" s="10" t="s">
        <v>924</v>
      </c>
      <c r="L221" s="10" t="s">
        <v>925</v>
      </c>
      <c r="M221" s="10" t="s">
        <v>926</v>
      </c>
      <c r="N221" s="9"/>
      <c r="O221" s="9" t="s">
        <v>51</v>
      </c>
      <c r="P221" s="9"/>
      <c r="Q221" s="10"/>
    </row>
    <row r="222" spans="1:17" ht="32" x14ac:dyDescent="0.4">
      <c r="A222" s="14">
        <v>16</v>
      </c>
      <c r="B222" s="9" t="s">
        <v>907</v>
      </c>
      <c r="C222" s="9" t="s">
        <v>908</v>
      </c>
      <c r="D222" s="9" t="s">
        <v>909</v>
      </c>
      <c r="E222" s="9" t="s">
        <v>43</v>
      </c>
      <c r="F222" s="9" t="s">
        <v>44</v>
      </c>
      <c r="G222" s="10" t="s">
        <v>910</v>
      </c>
      <c r="H222" s="10">
        <v>6</v>
      </c>
      <c r="I222" s="10" t="s">
        <v>927</v>
      </c>
      <c r="J222" s="10" t="s">
        <v>75</v>
      </c>
      <c r="K222" s="10" t="s">
        <v>76</v>
      </c>
      <c r="L222" s="10" t="s">
        <v>928</v>
      </c>
      <c r="M222" s="10" t="s">
        <v>929</v>
      </c>
      <c r="N222" s="9"/>
      <c r="O222" s="9" t="s">
        <v>51</v>
      </c>
      <c r="P222" s="9"/>
      <c r="Q222" s="10"/>
    </row>
    <row r="223" spans="1:17" ht="32" x14ac:dyDescent="0.4">
      <c r="A223" s="14">
        <v>16</v>
      </c>
      <c r="B223" s="9" t="s">
        <v>907</v>
      </c>
      <c r="C223" s="9" t="s">
        <v>908</v>
      </c>
      <c r="D223" s="9" t="s">
        <v>909</v>
      </c>
      <c r="E223" s="9" t="s">
        <v>43</v>
      </c>
      <c r="F223" s="9" t="s">
        <v>44</v>
      </c>
      <c r="G223" s="10" t="s">
        <v>910</v>
      </c>
      <c r="H223" s="10">
        <v>7</v>
      </c>
      <c r="I223" s="10" t="s">
        <v>930</v>
      </c>
      <c r="J223" s="10" t="s">
        <v>84</v>
      </c>
      <c r="K223" s="10" t="s">
        <v>453</v>
      </c>
      <c r="L223" s="10" t="s">
        <v>931</v>
      </c>
      <c r="M223" s="10" t="s">
        <v>932</v>
      </c>
      <c r="N223" s="9"/>
      <c r="O223" s="9" t="s">
        <v>51</v>
      </c>
      <c r="P223" s="9"/>
      <c r="Q223" s="10"/>
    </row>
    <row r="224" spans="1:17" ht="32" x14ac:dyDescent="0.4">
      <c r="A224" s="14">
        <v>16</v>
      </c>
      <c r="B224" s="9" t="s">
        <v>907</v>
      </c>
      <c r="C224" s="9" t="s">
        <v>908</v>
      </c>
      <c r="D224" s="9" t="s">
        <v>909</v>
      </c>
      <c r="E224" s="9" t="s">
        <v>43</v>
      </c>
      <c r="F224" s="9" t="s">
        <v>44</v>
      </c>
      <c r="G224" s="10" t="s">
        <v>910</v>
      </c>
      <c r="H224" s="10">
        <v>8</v>
      </c>
      <c r="I224" s="10" t="s">
        <v>933</v>
      </c>
      <c r="J224" s="10" t="s">
        <v>89</v>
      </c>
      <c r="K224" s="10" t="s">
        <v>90</v>
      </c>
      <c r="L224" s="10" t="s">
        <v>934</v>
      </c>
      <c r="M224" s="10" t="s">
        <v>935</v>
      </c>
      <c r="N224" s="9"/>
      <c r="O224" s="9" t="s">
        <v>51</v>
      </c>
      <c r="P224" s="9"/>
      <c r="Q224" s="10"/>
    </row>
    <row r="225" spans="1:17" ht="32" x14ac:dyDescent="0.4">
      <c r="A225" s="14">
        <v>16</v>
      </c>
      <c r="B225" s="9" t="s">
        <v>907</v>
      </c>
      <c r="C225" s="9" t="s">
        <v>908</v>
      </c>
      <c r="D225" s="9" t="s">
        <v>909</v>
      </c>
      <c r="E225" s="9" t="s">
        <v>43</v>
      </c>
      <c r="F225" s="9" t="s">
        <v>44</v>
      </c>
      <c r="G225" s="10" t="s">
        <v>910</v>
      </c>
      <c r="H225" s="10">
        <v>9</v>
      </c>
      <c r="I225" s="10" t="s">
        <v>936</v>
      </c>
      <c r="J225" s="10" t="s">
        <v>776</v>
      </c>
      <c r="K225" s="10" t="s">
        <v>831</v>
      </c>
      <c r="L225" s="10" t="s">
        <v>937</v>
      </c>
      <c r="M225" s="10" t="s">
        <v>938</v>
      </c>
      <c r="N225" s="9"/>
      <c r="O225" s="9" t="s">
        <v>51</v>
      </c>
      <c r="P225" s="9"/>
      <c r="Q225" s="10"/>
    </row>
    <row r="226" spans="1:17" ht="32" x14ac:dyDescent="0.4">
      <c r="A226" s="14">
        <v>16</v>
      </c>
      <c r="B226" s="9" t="s">
        <v>907</v>
      </c>
      <c r="C226" s="9" t="s">
        <v>939</v>
      </c>
      <c r="D226" s="9" t="s">
        <v>940</v>
      </c>
      <c r="E226" s="9" t="s">
        <v>100</v>
      </c>
      <c r="F226" s="9" t="s">
        <v>44</v>
      </c>
      <c r="G226" s="10" t="s">
        <v>941</v>
      </c>
      <c r="H226" s="10">
        <v>1</v>
      </c>
      <c r="I226" s="10" t="s">
        <v>942</v>
      </c>
      <c r="J226" s="10" t="s">
        <v>943</v>
      </c>
      <c r="K226" s="10" t="s">
        <v>944</v>
      </c>
      <c r="L226" s="10" t="s">
        <v>945</v>
      </c>
      <c r="M226" s="10" t="s">
        <v>946</v>
      </c>
      <c r="N226" s="9"/>
      <c r="O226" s="9" t="s">
        <v>51</v>
      </c>
      <c r="P226" s="9"/>
      <c r="Q226" s="10"/>
    </row>
    <row r="227" spans="1:17" ht="32" x14ac:dyDescent="0.4">
      <c r="A227" s="14">
        <v>16</v>
      </c>
      <c r="B227" s="9" t="s">
        <v>907</v>
      </c>
      <c r="C227" s="9" t="s">
        <v>939</v>
      </c>
      <c r="D227" s="9" t="s">
        <v>940</v>
      </c>
      <c r="E227" s="9" t="s">
        <v>100</v>
      </c>
      <c r="F227" s="9" t="s">
        <v>44</v>
      </c>
      <c r="G227" s="10" t="s">
        <v>941</v>
      </c>
      <c r="H227" s="10">
        <v>2</v>
      </c>
      <c r="I227" s="10" t="s">
        <v>947</v>
      </c>
      <c r="J227" s="10" t="s">
        <v>948</v>
      </c>
      <c r="K227" s="10" t="s">
        <v>842</v>
      </c>
      <c r="L227" s="10" t="s">
        <v>949</v>
      </c>
      <c r="M227" s="10" t="s">
        <v>950</v>
      </c>
      <c r="N227" s="9"/>
      <c r="O227" s="9" t="s">
        <v>51</v>
      </c>
      <c r="P227" s="9"/>
      <c r="Q227" s="10"/>
    </row>
    <row r="228" spans="1:17" ht="32" x14ac:dyDescent="0.4">
      <c r="A228" s="14">
        <v>16</v>
      </c>
      <c r="B228" s="9" t="s">
        <v>907</v>
      </c>
      <c r="C228" s="9" t="s">
        <v>939</v>
      </c>
      <c r="D228" s="9" t="s">
        <v>940</v>
      </c>
      <c r="E228" s="9" t="s">
        <v>100</v>
      </c>
      <c r="F228" s="9" t="s">
        <v>44</v>
      </c>
      <c r="G228" s="10" t="s">
        <v>941</v>
      </c>
      <c r="H228" s="10">
        <v>3</v>
      </c>
      <c r="I228" s="10" t="s">
        <v>951</v>
      </c>
      <c r="J228" s="10" t="s">
        <v>948</v>
      </c>
      <c r="K228" s="10" t="s">
        <v>437</v>
      </c>
      <c r="L228" s="10" t="s">
        <v>952</v>
      </c>
      <c r="M228" s="10" t="s">
        <v>953</v>
      </c>
      <c r="N228" s="9"/>
      <c r="O228" s="9" t="s">
        <v>51</v>
      </c>
      <c r="P228" s="9"/>
      <c r="Q228" s="10"/>
    </row>
    <row r="229" spans="1:17" ht="32" x14ac:dyDescent="0.4">
      <c r="A229" s="14">
        <v>16</v>
      </c>
      <c r="B229" s="9" t="s">
        <v>907</v>
      </c>
      <c r="C229" s="9" t="s">
        <v>939</v>
      </c>
      <c r="D229" s="9" t="s">
        <v>940</v>
      </c>
      <c r="E229" s="9" t="s">
        <v>100</v>
      </c>
      <c r="F229" s="9" t="s">
        <v>44</v>
      </c>
      <c r="G229" s="10" t="s">
        <v>941</v>
      </c>
      <c r="H229" s="10">
        <v>4</v>
      </c>
      <c r="I229" s="10" t="s">
        <v>954</v>
      </c>
      <c r="J229" s="10" t="s">
        <v>75</v>
      </c>
      <c r="K229" s="10" t="s">
        <v>686</v>
      </c>
      <c r="L229" s="10" t="s">
        <v>955</v>
      </c>
      <c r="M229" s="10" t="s">
        <v>956</v>
      </c>
      <c r="N229" s="9"/>
      <c r="O229" s="9" t="s">
        <v>51</v>
      </c>
      <c r="P229" s="9"/>
      <c r="Q229" s="10"/>
    </row>
    <row r="230" spans="1:17" ht="32" x14ac:dyDescent="0.4">
      <c r="A230" s="14">
        <v>16</v>
      </c>
      <c r="B230" s="9" t="s">
        <v>907</v>
      </c>
      <c r="C230" s="9" t="s">
        <v>939</v>
      </c>
      <c r="D230" s="9" t="s">
        <v>940</v>
      </c>
      <c r="E230" s="9" t="s">
        <v>100</v>
      </c>
      <c r="F230" s="9" t="s">
        <v>44</v>
      </c>
      <c r="G230" s="10" t="s">
        <v>941</v>
      </c>
      <c r="H230" s="10">
        <v>5</v>
      </c>
      <c r="I230" s="10" t="s">
        <v>957</v>
      </c>
      <c r="J230" s="10" t="s">
        <v>406</v>
      </c>
      <c r="K230" s="10" t="s">
        <v>373</v>
      </c>
      <c r="L230" s="10" t="s">
        <v>958</v>
      </c>
      <c r="M230" s="10" t="s">
        <v>959</v>
      </c>
      <c r="N230" s="9"/>
      <c r="O230" s="9" t="s">
        <v>51</v>
      </c>
      <c r="P230" s="9"/>
      <c r="Q230" s="10"/>
    </row>
    <row r="231" spans="1:17" ht="32" x14ac:dyDescent="0.4">
      <c r="A231" s="14">
        <v>17</v>
      </c>
      <c r="B231" s="9" t="s">
        <v>960</v>
      </c>
      <c r="C231" s="9" t="s">
        <v>961</v>
      </c>
      <c r="D231" s="9" t="s">
        <v>962</v>
      </c>
      <c r="E231" s="9" t="s">
        <v>43</v>
      </c>
      <c r="F231" s="9" t="s">
        <v>44</v>
      </c>
      <c r="G231" s="10" t="s">
        <v>963</v>
      </c>
      <c r="H231" s="10">
        <v>1</v>
      </c>
      <c r="I231" s="10" t="s">
        <v>964</v>
      </c>
      <c r="J231" s="10" t="s">
        <v>965</v>
      </c>
      <c r="K231" s="10" t="s">
        <v>90</v>
      </c>
      <c r="L231" s="10" t="s">
        <v>966</v>
      </c>
      <c r="M231" s="10" t="s">
        <v>967</v>
      </c>
      <c r="N231" s="9"/>
      <c r="O231" s="9" t="s">
        <v>51</v>
      </c>
      <c r="P231" s="9"/>
      <c r="Q231" s="10"/>
    </row>
    <row r="232" spans="1:17" ht="32" x14ac:dyDescent="0.4">
      <c r="A232" s="14">
        <v>17</v>
      </c>
      <c r="B232" s="9" t="s">
        <v>960</v>
      </c>
      <c r="C232" s="9" t="s">
        <v>961</v>
      </c>
      <c r="D232" s="9" t="s">
        <v>962</v>
      </c>
      <c r="E232" s="9" t="s">
        <v>43</v>
      </c>
      <c r="F232" s="9" t="s">
        <v>44</v>
      </c>
      <c r="G232" s="10" t="s">
        <v>963</v>
      </c>
      <c r="H232" s="10">
        <v>2</v>
      </c>
      <c r="I232" s="10" t="s">
        <v>968</v>
      </c>
      <c r="J232" s="10" t="s">
        <v>969</v>
      </c>
      <c r="K232" s="10" t="s">
        <v>90</v>
      </c>
      <c r="L232" s="10" t="s">
        <v>970</v>
      </c>
      <c r="M232" s="10" t="s">
        <v>971</v>
      </c>
      <c r="N232" s="9"/>
      <c r="O232" s="9" t="s">
        <v>51</v>
      </c>
      <c r="P232" s="9"/>
      <c r="Q232" s="10"/>
    </row>
    <row r="233" spans="1:17" ht="32" x14ac:dyDescent="0.4">
      <c r="A233" s="14">
        <v>17</v>
      </c>
      <c r="B233" s="9" t="s">
        <v>960</v>
      </c>
      <c r="C233" s="9" t="s">
        <v>961</v>
      </c>
      <c r="D233" s="9" t="s">
        <v>962</v>
      </c>
      <c r="E233" s="9" t="s">
        <v>43</v>
      </c>
      <c r="F233" s="9" t="s">
        <v>44</v>
      </c>
      <c r="G233" s="10" t="s">
        <v>963</v>
      </c>
      <c r="H233" s="10">
        <v>3</v>
      </c>
      <c r="I233" s="10" t="s">
        <v>972</v>
      </c>
      <c r="J233" s="10" t="s">
        <v>973</v>
      </c>
      <c r="K233" s="10" t="s">
        <v>90</v>
      </c>
      <c r="L233" s="10" t="s">
        <v>974</v>
      </c>
      <c r="M233" s="10" t="s">
        <v>975</v>
      </c>
      <c r="N233" s="9"/>
      <c r="O233" s="9" t="s">
        <v>51</v>
      </c>
      <c r="P233" s="9"/>
      <c r="Q233" s="10"/>
    </row>
    <row r="234" spans="1:17" ht="32" x14ac:dyDescent="0.4">
      <c r="A234" s="14">
        <v>17</v>
      </c>
      <c r="B234" s="9" t="s">
        <v>960</v>
      </c>
      <c r="C234" s="9" t="s">
        <v>961</v>
      </c>
      <c r="D234" s="9" t="s">
        <v>962</v>
      </c>
      <c r="E234" s="9" t="s">
        <v>43</v>
      </c>
      <c r="F234" s="9" t="s">
        <v>44</v>
      </c>
      <c r="G234" s="10" t="s">
        <v>963</v>
      </c>
      <c r="H234" s="10">
        <v>4</v>
      </c>
      <c r="I234" s="10" t="s">
        <v>976</v>
      </c>
      <c r="J234" s="10" t="s">
        <v>973</v>
      </c>
      <c r="K234" s="10" t="s">
        <v>162</v>
      </c>
      <c r="L234" s="10" t="s">
        <v>977</v>
      </c>
      <c r="M234" s="10" t="s">
        <v>978</v>
      </c>
      <c r="N234" s="9"/>
      <c r="O234" s="9" t="s">
        <v>51</v>
      </c>
      <c r="P234" s="9"/>
      <c r="Q234" s="10"/>
    </row>
    <row r="235" spans="1:17" ht="32" x14ac:dyDescent="0.4">
      <c r="A235" s="14">
        <v>17</v>
      </c>
      <c r="B235" s="9" t="s">
        <v>960</v>
      </c>
      <c r="C235" s="9" t="s">
        <v>961</v>
      </c>
      <c r="D235" s="9" t="s">
        <v>962</v>
      </c>
      <c r="E235" s="9" t="s">
        <v>43</v>
      </c>
      <c r="F235" s="9" t="s">
        <v>44</v>
      </c>
      <c r="G235" s="10" t="s">
        <v>963</v>
      </c>
      <c r="H235" s="10">
        <v>5</v>
      </c>
      <c r="I235" s="10" t="s">
        <v>979</v>
      </c>
      <c r="J235" s="10" t="s">
        <v>372</v>
      </c>
      <c r="K235" s="10" t="s">
        <v>980</v>
      </c>
      <c r="L235" s="10" t="s">
        <v>981</v>
      </c>
      <c r="M235" s="10" t="s">
        <v>982</v>
      </c>
      <c r="N235" s="9"/>
      <c r="O235" s="9" t="s">
        <v>51</v>
      </c>
      <c r="P235" s="9"/>
      <c r="Q235" s="10"/>
    </row>
    <row r="236" spans="1:17" ht="32" x14ac:dyDescent="0.4">
      <c r="A236" s="14">
        <v>17</v>
      </c>
      <c r="B236" s="9" t="s">
        <v>960</v>
      </c>
      <c r="C236" s="9" t="s">
        <v>961</v>
      </c>
      <c r="D236" s="9" t="s">
        <v>962</v>
      </c>
      <c r="E236" s="9" t="s">
        <v>43</v>
      </c>
      <c r="F236" s="9" t="s">
        <v>44</v>
      </c>
      <c r="G236" s="10" t="s">
        <v>963</v>
      </c>
      <c r="H236" s="10">
        <v>6</v>
      </c>
      <c r="I236" s="10" t="s">
        <v>983</v>
      </c>
      <c r="J236" s="10" t="s">
        <v>984</v>
      </c>
      <c r="K236" s="10" t="s">
        <v>90</v>
      </c>
      <c r="L236" s="10" t="s">
        <v>985</v>
      </c>
      <c r="M236" s="10" t="s">
        <v>986</v>
      </c>
      <c r="N236" s="9"/>
      <c r="O236" s="9" t="s">
        <v>51</v>
      </c>
      <c r="P236" s="9"/>
      <c r="Q236" s="10"/>
    </row>
    <row r="237" spans="1:17" ht="32" x14ac:dyDescent="0.4">
      <c r="A237" s="14">
        <v>17</v>
      </c>
      <c r="B237" s="9" t="s">
        <v>960</v>
      </c>
      <c r="C237" s="9" t="s">
        <v>961</v>
      </c>
      <c r="D237" s="9" t="s">
        <v>962</v>
      </c>
      <c r="E237" s="9" t="s">
        <v>43</v>
      </c>
      <c r="F237" s="9" t="s">
        <v>44</v>
      </c>
      <c r="G237" s="10" t="s">
        <v>963</v>
      </c>
      <c r="H237" s="10">
        <v>7</v>
      </c>
      <c r="I237" s="10" t="s">
        <v>987</v>
      </c>
      <c r="J237" s="10" t="s">
        <v>984</v>
      </c>
      <c r="K237" s="10" t="s">
        <v>90</v>
      </c>
      <c r="L237" s="10" t="s">
        <v>988</v>
      </c>
      <c r="M237" s="10" t="s">
        <v>989</v>
      </c>
      <c r="N237" s="9"/>
      <c r="O237" s="9" t="s">
        <v>51</v>
      </c>
      <c r="P237" s="9"/>
      <c r="Q237" s="10"/>
    </row>
    <row r="238" spans="1:17" ht="32" x14ac:dyDescent="0.4">
      <c r="A238" s="14">
        <v>17</v>
      </c>
      <c r="B238" s="9" t="s">
        <v>960</v>
      </c>
      <c r="C238" s="9" t="s">
        <v>961</v>
      </c>
      <c r="D238" s="9" t="s">
        <v>962</v>
      </c>
      <c r="E238" s="9" t="s">
        <v>43</v>
      </c>
      <c r="F238" s="9" t="s">
        <v>44</v>
      </c>
      <c r="G238" s="10" t="s">
        <v>963</v>
      </c>
      <c r="H238" s="10">
        <v>8</v>
      </c>
      <c r="I238" s="10" t="s">
        <v>990</v>
      </c>
      <c r="J238" s="10" t="s">
        <v>89</v>
      </c>
      <c r="K238" s="10" t="s">
        <v>991</v>
      </c>
      <c r="L238" s="10" t="s">
        <v>992</v>
      </c>
      <c r="M238" s="10" t="s">
        <v>993</v>
      </c>
      <c r="N238" s="9"/>
      <c r="O238" s="9" t="s">
        <v>51</v>
      </c>
      <c r="P238" s="9"/>
      <c r="Q238" s="10"/>
    </row>
    <row r="239" spans="1:17" ht="32" x14ac:dyDescent="0.4">
      <c r="A239" s="14">
        <v>17</v>
      </c>
      <c r="B239" s="9" t="s">
        <v>960</v>
      </c>
      <c r="C239" s="9" t="s">
        <v>961</v>
      </c>
      <c r="D239" s="9" t="s">
        <v>962</v>
      </c>
      <c r="E239" s="9" t="s">
        <v>43</v>
      </c>
      <c r="F239" s="9" t="s">
        <v>44</v>
      </c>
      <c r="G239" s="10" t="s">
        <v>963</v>
      </c>
      <c r="H239" s="10">
        <v>9</v>
      </c>
      <c r="I239" s="10" t="s">
        <v>994</v>
      </c>
      <c r="J239" s="10" t="s">
        <v>89</v>
      </c>
      <c r="K239" s="10" t="s">
        <v>90</v>
      </c>
      <c r="L239" s="10" t="s">
        <v>995</v>
      </c>
      <c r="M239" s="10" t="s">
        <v>996</v>
      </c>
      <c r="N239" s="9"/>
      <c r="O239" s="9" t="s">
        <v>51</v>
      </c>
      <c r="P239" s="9"/>
      <c r="Q239" s="10"/>
    </row>
    <row r="240" spans="1:17" ht="32" x14ac:dyDescent="0.4">
      <c r="A240" s="14">
        <v>17</v>
      </c>
      <c r="B240" s="9" t="s">
        <v>960</v>
      </c>
      <c r="C240" s="9" t="s">
        <v>997</v>
      </c>
      <c r="D240" s="9" t="s">
        <v>998</v>
      </c>
      <c r="E240" s="9" t="s">
        <v>100</v>
      </c>
      <c r="F240" s="9" t="s">
        <v>44</v>
      </c>
      <c r="G240" s="10" t="s">
        <v>999</v>
      </c>
      <c r="H240" s="10">
        <v>1</v>
      </c>
      <c r="I240" s="10" t="s">
        <v>1000</v>
      </c>
      <c r="J240" s="10" t="s">
        <v>1001</v>
      </c>
      <c r="K240" s="10" t="s">
        <v>90</v>
      </c>
      <c r="L240" s="10" t="s">
        <v>1002</v>
      </c>
      <c r="M240" s="10" t="s">
        <v>1003</v>
      </c>
      <c r="N240" s="9"/>
      <c r="O240" s="9" t="s">
        <v>51</v>
      </c>
      <c r="P240" s="9"/>
      <c r="Q240" s="10"/>
    </row>
    <row r="241" spans="1:17" ht="32" x14ac:dyDescent="0.4">
      <c r="A241" s="14">
        <v>17</v>
      </c>
      <c r="B241" s="9" t="s">
        <v>960</v>
      </c>
      <c r="C241" s="9" t="s">
        <v>997</v>
      </c>
      <c r="D241" s="9" t="s">
        <v>998</v>
      </c>
      <c r="E241" s="9" t="s">
        <v>100</v>
      </c>
      <c r="F241" s="9" t="s">
        <v>44</v>
      </c>
      <c r="G241" s="10" t="s">
        <v>999</v>
      </c>
      <c r="H241" s="10">
        <v>2</v>
      </c>
      <c r="I241" s="10" t="s">
        <v>1004</v>
      </c>
      <c r="J241" s="10" t="s">
        <v>984</v>
      </c>
      <c r="K241" s="10" t="s">
        <v>90</v>
      </c>
      <c r="L241" s="10" t="s">
        <v>1005</v>
      </c>
      <c r="M241" s="10" t="s">
        <v>1006</v>
      </c>
      <c r="N241" s="9"/>
      <c r="O241" s="9" t="s">
        <v>51</v>
      </c>
      <c r="P241" s="9"/>
      <c r="Q241" s="10"/>
    </row>
    <row r="242" spans="1:17" ht="32" x14ac:dyDescent="0.4">
      <c r="A242" s="14">
        <v>17</v>
      </c>
      <c r="B242" s="9" t="s">
        <v>960</v>
      </c>
      <c r="C242" s="9" t="s">
        <v>997</v>
      </c>
      <c r="D242" s="9" t="s">
        <v>998</v>
      </c>
      <c r="E242" s="9" t="s">
        <v>100</v>
      </c>
      <c r="F242" s="9" t="s">
        <v>44</v>
      </c>
      <c r="G242" s="10" t="s">
        <v>999</v>
      </c>
      <c r="H242" s="10">
        <v>3</v>
      </c>
      <c r="I242" s="10" t="s">
        <v>1007</v>
      </c>
      <c r="J242" s="10" t="s">
        <v>89</v>
      </c>
      <c r="K242" s="10" t="s">
        <v>90</v>
      </c>
      <c r="L242" s="10" t="s">
        <v>1008</v>
      </c>
      <c r="M242" s="10" t="s">
        <v>1009</v>
      </c>
      <c r="N242" s="9"/>
      <c r="O242" s="9" t="s">
        <v>51</v>
      </c>
      <c r="P242" s="9"/>
      <c r="Q242" s="10"/>
    </row>
    <row r="243" spans="1:17" ht="32" x14ac:dyDescent="0.4">
      <c r="A243" s="14">
        <v>17</v>
      </c>
      <c r="B243" s="9" t="s">
        <v>960</v>
      </c>
      <c r="C243" s="9" t="s">
        <v>997</v>
      </c>
      <c r="D243" s="9" t="s">
        <v>998</v>
      </c>
      <c r="E243" s="9" t="s">
        <v>100</v>
      </c>
      <c r="F243" s="9" t="s">
        <v>44</v>
      </c>
      <c r="G243" s="10" t="s">
        <v>999</v>
      </c>
      <c r="H243" s="10">
        <v>4</v>
      </c>
      <c r="I243" s="10" t="s">
        <v>1010</v>
      </c>
      <c r="J243" s="10" t="s">
        <v>1011</v>
      </c>
      <c r="K243" s="10" t="s">
        <v>884</v>
      </c>
      <c r="L243" s="10" t="s">
        <v>1012</v>
      </c>
      <c r="M243" s="10" t="s">
        <v>1013</v>
      </c>
      <c r="N243" s="9"/>
      <c r="O243" s="9" t="s">
        <v>51</v>
      </c>
      <c r="P243" s="9"/>
      <c r="Q243" s="10"/>
    </row>
    <row r="244" spans="1:17" ht="32" x14ac:dyDescent="0.4">
      <c r="A244" s="14">
        <v>17</v>
      </c>
      <c r="B244" s="9" t="s">
        <v>960</v>
      </c>
      <c r="C244" s="9" t="s">
        <v>997</v>
      </c>
      <c r="D244" s="9" t="s">
        <v>998</v>
      </c>
      <c r="E244" s="9" t="s">
        <v>100</v>
      </c>
      <c r="F244" s="9" t="s">
        <v>44</v>
      </c>
      <c r="G244" s="10" t="s">
        <v>999</v>
      </c>
      <c r="H244" s="10">
        <v>5</v>
      </c>
      <c r="I244" s="10" t="s">
        <v>1014</v>
      </c>
      <c r="J244" s="10" t="s">
        <v>1015</v>
      </c>
      <c r="K244" s="10" t="s">
        <v>90</v>
      </c>
      <c r="L244" s="10" t="s">
        <v>1016</v>
      </c>
      <c r="M244" s="10" t="s">
        <v>1017</v>
      </c>
      <c r="N244" s="9"/>
      <c r="O244" s="9" t="s">
        <v>51</v>
      </c>
      <c r="P244" s="9"/>
      <c r="Q244" s="10"/>
    </row>
    <row r="245" spans="1:17" ht="32" x14ac:dyDescent="0.4">
      <c r="A245" s="14">
        <v>18</v>
      </c>
      <c r="B245" s="9" t="s">
        <v>1018</v>
      </c>
      <c r="C245" s="9" t="s">
        <v>1019</v>
      </c>
      <c r="D245" s="9" t="s">
        <v>1020</v>
      </c>
      <c r="E245" s="9" t="s">
        <v>43</v>
      </c>
      <c r="F245" s="9" t="s">
        <v>44</v>
      </c>
      <c r="G245" s="10" t="s">
        <v>1021</v>
      </c>
      <c r="H245" s="10">
        <v>1</v>
      </c>
      <c r="I245" s="10" t="s">
        <v>1022</v>
      </c>
      <c r="J245" s="10" t="s">
        <v>1023</v>
      </c>
      <c r="K245" s="10" t="s">
        <v>6</v>
      </c>
      <c r="L245" s="10" t="s">
        <v>1024</v>
      </c>
      <c r="M245" s="10" t="s">
        <v>1025</v>
      </c>
      <c r="N245" s="9"/>
      <c r="O245" s="9" t="s">
        <v>51</v>
      </c>
      <c r="P245" s="9"/>
      <c r="Q245" s="10"/>
    </row>
    <row r="246" spans="1:17" ht="32" x14ac:dyDescent="0.4">
      <c r="A246" s="14">
        <v>18</v>
      </c>
      <c r="B246" s="9" t="s">
        <v>1018</v>
      </c>
      <c r="C246" s="9" t="s">
        <v>1019</v>
      </c>
      <c r="D246" s="9" t="s">
        <v>1020</v>
      </c>
      <c r="E246" s="9" t="s">
        <v>43</v>
      </c>
      <c r="F246" s="9" t="s">
        <v>44</v>
      </c>
      <c r="G246" s="10" t="s">
        <v>1021</v>
      </c>
      <c r="H246" s="10">
        <v>2</v>
      </c>
      <c r="I246" s="10" t="s">
        <v>1026</v>
      </c>
      <c r="J246" s="10" t="s">
        <v>1027</v>
      </c>
      <c r="K246" s="10" t="s">
        <v>6</v>
      </c>
      <c r="L246" s="10" t="s">
        <v>1028</v>
      </c>
      <c r="M246" s="10" t="s">
        <v>1029</v>
      </c>
      <c r="N246" s="9"/>
      <c r="O246" s="9" t="s">
        <v>51</v>
      </c>
      <c r="P246" s="9"/>
      <c r="Q246" s="10"/>
    </row>
    <row r="247" spans="1:17" ht="32" x14ac:dyDescent="0.4">
      <c r="A247" s="14">
        <v>18</v>
      </c>
      <c r="B247" s="9" t="s">
        <v>1018</v>
      </c>
      <c r="C247" s="9" t="s">
        <v>1019</v>
      </c>
      <c r="D247" s="9" t="s">
        <v>1020</v>
      </c>
      <c r="E247" s="9" t="s">
        <v>43</v>
      </c>
      <c r="F247" s="9" t="s">
        <v>44</v>
      </c>
      <c r="G247" s="10" t="s">
        <v>1021</v>
      </c>
      <c r="H247" s="10">
        <v>3</v>
      </c>
      <c r="I247" s="10" t="s">
        <v>1030</v>
      </c>
      <c r="J247" s="10" t="s">
        <v>1031</v>
      </c>
      <c r="K247" s="10" t="s">
        <v>1032</v>
      </c>
      <c r="L247" s="10" t="s">
        <v>1033</v>
      </c>
      <c r="M247" s="10" t="s">
        <v>1034</v>
      </c>
      <c r="N247" s="9"/>
      <c r="O247" s="9" t="s">
        <v>51</v>
      </c>
      <c r="P247" s="9"/>
      <c r="Q247" s="10"/>
    </row>
    <row r="248" spans="1:17" ht="32" x14ac:dyDescent="0.4">
      <c r="A248" s="14">
        <v>18</v>
      </c>
      <c r="B248" s="9" t="s">
        <v>1018</v>
      </c>
      <c r="C248" s="9" t="s">
        <v>1019</v>
      </c>
      <c r="D248" s="9" t="s">
        <v>1020</v>
      </c>
      <c r="E248" s="9" t="s">
        <v>43</v>
      </c>
      <c r="F248" s="9" t="s">
        <v>44</v>
      </c>
      <c r="G248" s="10" t="s">
        <v>1021</v>
      </c>
      <c r="H248" s="10">
        <v>4</v>
      </c>
      <c r="I248" s="10" t="s">
        <v>1035</v>
      </c>
      <c r="J248" s="10" t="s">
        <v>1036</v>
      </c>
      <c r="K248" s="10" t="s">
        <v>1037</v>
      </c>
      <c r="L248" s="10" t="s">
        <v>1038</v>
      </c>
      <c r="M248" s="10" t="s">
        <v>1039</v>
      </c>
      <c r="N248" s="9"/>
      <c r="O248" s="9" t="s">
        <v>51</v>
      </c>
      <c r="P248" s="9"/>
      <c r="Q248" s="10"/>
    </row>
    <row r="249" spans="1:17" ht="32" x14ac:dyDescent="0.4">
      <c r="A249" s="14">
        <v>18</v>
      </c>
      <c r="B249" s="9" t="s">
        <v>1018</v>
      </c>
      <c r="C249" s="9" t="s">
        <v>1019</v>
      </c>
      <c r="D249" s="9" t="s">
        <v>1020</v>
      </c>
      <c r="E249" s="9" t="s">
        <v>43</v>
      </c>
      <c r="F249" s="9" t="s">
        <v>44</v>
      </c>
      <c r="G249" s="10" t="s">
        <v>1021</v>
      </c>
      <c r="H249" s="10">
        <v>5</v>
      </c>
      <c r="I249" s="10" t="s">
        <v>1040</v>
      </c>
      <c r="J249" s="10" t="s">
        <v>1041</v>
      </c>
      <c r="K249" s="10" t="s">
        <v>1042</v>
      </c>
      <c r="L249" s="10" t="s">
        <v>1043</v>
      </c>
      <c r="M249" s="10" t="s">
        <v>1044</v>
      </c>
      <c r="N249" s="9"/>
      <c r="O249" s="9" t="s">
        <v>51</v>
      </c>
      <c r="P249" s="9"/>
      <c r="Q249" s="10"/>
    </row>
    <row r="250" spans="1:17" ht="32" x14ac:dyDescent="0.4">
      <c r="A250" s="14">
        <v>18</v>
      </c>
      <c r="B250" s="9" t="s">
        <v>1018</v>
      </c>
      <c r="C250" s="9" t="s">
        <v>1019</v>
      </c>
      <c r="D250" s="9" t="s">
        <v>1020</v>
      </c>
      <c r="E250" s="9" t="s">
        <v>43</v>
      </c>
      <c r="F250" s="9" t="s">
        <v>44</v>
      </c>
      <c r="G250" s="10" t="s">
        <v>1021</v>
      </c>
      <c r="H250" s="10">
        <v>6</v>
      </c>
      <c r="I250" s="10" t="s">
        <v>1045</v>
      </c>
      <c r="J250" s="10" t="s">
        <v>1046</v>
      </c>
      <c r="K250" s="10" t="s">
        <v>1047</v>
      </c>
      <c r="L250" s="10" t="s">
        <v>1048</v>
      </c>
      <c r="M250" s="10" t="s">
        <v>1049</v>
      </c>
      <c r="N250" s="9"/>
      <c r="O250" s="9" t="s">
        <v>51</v>
      </c>
      <c r="P250" s="9"/>
      <c r="Q250" s="10"/>
    </row>
    <row r="251" spans="1:17" ht="32" x14ac:dyDescent="0.4">
      <c r="A251" s="14">
        <v>18</v>
      </c>
      <c r="B251" s="9" t="s">
        <v>1018</v>
      </c>
      <c r="C251" s="9" t="s">
        <v>1019</v>
      </c>
      <c r="D251" s="9" t="s">
        <v>1020</v>
      </c>
      <c r="E251" s="9" t="s">
        <v>43</v>
      </c>
      <c r="F251" s="9" t="s">
        <v>44</v>
      </c>
      <c r="G251" s="10" t="s">
        <v>1021</v>
      </c>
      <c r="H251" s="10">
        <v>7</v>
      </c>
      <c r="I251" s="10" t="s">
        <v>1050</v>
      </c>
      <c r="J251" s="10" t="s">
        <v>883</v>
      </c>
      <c r="K251" s="10" t="s">
        <v>90</v>
      </c>
      <c r="L251" s="10" t="s">
        <v>1051</v>
      </c>
      <c r="M251" s="10" t="s">
        <v>1052</v>
      </c>
      <c r="N251" s="9"/>
      <c r="O251" s="9" t="s">
        <v>51</v>
      </c>
      <c r="P251" s="9"/>
      <c r="Q251" s="10"/>
    </row>
    <row r="252" spans="1:17" ht="32" x14ac:dyDescent="0.4">
      <c r="A252" s="14">
        <v>18</v>
      </c>
      <c r="B252" s="9" t="s">
        <v>1018</v>
      </c>
      <c r="C252" s="9" t="s">
        <v>1019</v>
      </c>
      <c r="D252" s="9" t="s">
        <v>1020</v>
      </c>
      <c r="E252" s="9" t="s">
        <v>43</v>
      </c>
      <c r="F252" s="9" t="s">
        <v>44</v>
      </c>
      <c r="G252" s="10" t="s">
        <v>1021</v>
      </c>
      <c r="H252" s="10">
        <v>8</v>
      </c>
      <c r="I252" s="10" t="s">
        <v>1053</v>
      </c>
      <c r="J252" s="10" t="s">
        <v>1054</v>
      </c>
      <c r="K252" s="10" t="s">
        <v>90</v>
      </c>
      <c r="L252" s="10" t="s">
        <v>1055</v>
      </c>
      <c r="M252" s="10" t="s">
        <v>1056</v>
      </c>
      <c r="N252" s="9"/>
      <c r="O252" s="9" t="s">
        <v>51</v>
      </c>
      <c r="P252" s="9"/>
      <c r="Q252" s="10"/>
    </row>
    <row r="253" spans="1:17" ht="32" x14ac:dyDescent="0.4">
      <c r="A253" s="14">
        <v>18</v>
      </c>
      <c r="B253" s="9" t="s">
        <v>1018</v>
      </c>
      <c r="C253" s="9" t="s">
        <v>1019</v>
      </c>
      <c r="D253" s="9" t="s">
        <v>1020</v>
      </c>
      <c r="E253" s="9" t="s">
        <v>43</v>
      </c>
      <c r="F253" s="9" t="s">
        <v>44</v>
      </c>
      <c r="G253" s="10" t="s">
        <v>1021</v>
      </c>
      <c r="H253" s="10">
        <v>9</v>
      </c>
      <c r="I253" s="10" t="s">
        <v>1057</v>
      </c>
      <c r="J253" s="10" t="s">
        <v>1058</v>
      </c>
      <c r="K253" s="10" t="s">
        <v>1059</v>
      </c>
      <c r="L253" s="10" t="s">
        <v>1060</v>
      </c>
      <c r="M253" s="10" t="s">
        <v>1061</v>
      </c>
      <c r="N253" s="9"/>
      <c r="O253" s="9" t="s">
        <v>51</v>
      </c>
      <c r="P253" s="9"/>
      <c r="Q253" s="10"/>
    </row>
    <row r="254" spans="1:17" ht="32" x14ac:dyDescent="0.4">
      <c r="A254" s="14">
        <v>18</v>
      </c>
      <c r="B254" s="9" t="s">
        <v>1018</v>
      </c>
      <c r="C254" s="9" t="s">
        <v>1019</v>
      </c>
      <c r="D254" s="9" t="s">
        <v>1020</v>
      </c>
      <c r="E254" s="9" t="s">
        <v>43</v>
      </c>
      <c r="F254" s="9" t="s">
        <v>44</v>
      </c>
      <c r="G254" s="10" t="s">
        <v>1021</v>
      </c>
      <c r="H254" s="10">
        <v>10</v>
      </c>
      <c r="I254" s="10" t="s">
        <v>1062</v>
      </c>
      <c r="J254" s="10" t="s">
        <v>1063</v>
      </c>
      <c r="K254" s="10" t="s">
        <v>1064</v>
      </c>
      <c r="L254" s="10" t="s">
        <v>1065</v>
      </c>
      <c r="M254" s="10" t="s">
        <v>1066</v>
      </c>
      <c r="N254" s="9"/>
      <c r="O254" s="9" t="s">
        <v>51</v>
      </c>
      <c r="P254" s="9"/>
      <c r="Q254" s="10"/>
    </row>
    <row r="255" spans="1:17" ht="32" x14ac:dyDescent="0.4">
      <c r="A255" s="14">
        <v>18</v>
      </c>
      <c r="B255" s="9" t="s">
        <v>1018</v>
      </c>
      <c r="C255" s="9" t="s">
        <v>1019</v>
      </c>
      <c r="D255" s="9" t="s">
        <v>1020</v>
      </c>
      <c r="E255" s="9" t="s">
        <v>43</v>
      </c>
      <c r="F255" s="9" t="s">
        <v>44</v>
      </c>
      <c r="G255" s="10" t="s">
        <v>1021</v>
      </c>
      <c r="H255" s="10">
        <v>11</v>
      </c>
      <c r="I255" s="10" t="s">
        <v>1067</v>
      </c>
      <c r="J255" s="10" t="s">
        <v>1068</v>
      </c>
      <c r="K255" s="10" t="s">
        <v>1069</v>
      </c>
      <c r="L255" s="10" t="s">
        <v>1070</v>
      </c>
      <c r="M255" s="10" t="s">
        <v>1071</v>
      </c>
      <c r="N255" s="9"/>
      <c r="O255" s="9" t="s">
        <v>51</v>
      </c>
      <c r="P255" s="9"/>
      <c r="Q255" s="10"/>
    </row>
    <row r="256" spans="1:17" ht="32" x14ac:dyDescent="0.4">
      <c r="A256" s="14">
        <v>18</v>
      </c>
      <c r="B256" s="9" t="s">
        <v>1018</v>
      </c>
      <c r="C256" s="9" t="s">
        <v>1019</v>
      </c>
      <c r="D256" s="9" t="s">
        <v>1020</v>
      </c>
      <c r="E256" s="9" t="s">
        <v>43</v>
      </c>
      <c r="F256" s="9" t="s">
        <v>44</v>
      </c>
      <c r="G256" s="10" t="s">
        <v>1021</v>
      </c>
      <c r="H256" s="10">
        <v>12</v>
      </c>
      <c r="I256" s="10" t="s">
        <v>1072</v>
      </c>
      <c r="J256" s="10" t="s">
        <v>84</v>
      </c>
      <c r="K256" s="10" t="s">
        <v>85</v>
      </c>
      <c r="L256" s="10" t="s">
        <v>1073</v>
      </c>
      <c r="M256" s="10" t="s">
        <v>1074</v>
      </c>
      <c r="N256" s="9"/>
      <c r="O256" s="9" t="s">
        <v>51</v>
      </c>
      <c r="P256" s="9"/>
      <c r="Q256" s="10"/>
    </row>
    <row r="257" spans="1:17" ht="32" x14ac:dyDescent="0.4">
      <c r="A257" s="14">
        <v>18</v>
      </c>
      <c r="B257" s="9" t="s">
        <v>1018</v>
      </c>
      <c r="C257" s="9" t="s">
        <v>1075</v>
      </c>
      <c r="D257" s="9" t="s">
        <v>1076</v>
      </c>
      <c r="E257" s="9" t="s">
        <v>235</v>
      </c>
      <c r="F257" s="9" t="s">
        <v>44</v>
      </c>
      <c r="G257" s="10" t="s">
        <v>1077</v>
      </c>
      <c r="H257" s="10">
        <v>1</v>
      </c>
      <c r="I257" s="10" t="s">
        <v>1078</v>
      </c>
      <c r="J257" s="10" t="s">
        <v>1079</v>
      </c>
      <c r="K257" s="10" t="s">
        <v>1080</v>
      </c>
      <c r="L257" s="10" t="s">
        <v>1081</v>
      </c>
      <c r="M257" s="10" t="s">
        <v>1082</v>
      </c>
      <c r="N257" s="9"/>
      <c r="O257" s="9" t="s">
        <v>51</v>
      </c>
      <c r="P257" s="9"/>
      <c r="Q257" s="10"/>
    </row>
    <row r="258" spans="1:17" ht="48" x14ac:dyDescent="0.4">
      <c r="A258" s="14">
        <v>18</v>
      </c>
      <c r="B258" s="9" t="s">
        <v>1018</v>
      </c>
      <c r="C258" s="9" t="s">
        <v>1075</v>
      </c>
      <c r="D258" s="9" t="s">
        <v>1076</v>
      </c>
      <c r="E258" s="9" t="s">
        <v>235</v>
      </c>
      <c r="F258" s="9" t="s">
        <v>44</v>
      </c>
      <c r="G258" s="10" t="s">
        <v>1077</v>
      </c>
      <c r="H258" s="10">
        <v>2</v>
      </c>
      <c r="I258" s="10" t="s">
        <v>1083</v>
      </c>
      <c r="J258" s="10" t="s">
        <v>1084</v>
      </c>
      <c r="K258" s="10" t="s">
        <v>90</v>
      </c>
      <c r="L258" s="10" t="s">
        <v>1085</v>
      </c>
      <c r="M258" s="10" t="s">
        <v>1086</v>
      </c>
      <c r="N258" s="9"/>
      <c r="O258" s="9" t="s">
        <v>51</v>
      </c>
      <c r="P258" s="9"/>
      <c r="Q258" s="10"/>
    </row>
    <row r="259" spans="1:17" ht="32" x14ac:dyDescent="0.4">
      <c r="A259" s="14">
        <v>18</v>
      </c>
      <c r="B259" s="9" t="s">
        <v>1018</v>
      </c>
      <c r="C259" s="9" t="s">
        <v>1075</v>
      </c>
      <c r="D259" s="9" t="s">
        <v>1076</v>
      </c>
      <c r="E259" s="9" t="s">
        <v>235</v>
      </c>
      <c r="F259" s="9" t="s">
        <v>44</v>
      </c>
      <c r="G259" s="10" t="s">
        <v>1077</v>
      </c>
      <c r="H259" s="10">
        <v>3</v>
      </c>
      <c r="I259" s="10" t="s">
        <v>1087</v>
      </c>
      <c r="J259" s="10" t="s">
        <v>1001</v>
      </c>
      <c r="K259" s="10" t="s">
        <v>980</v>
      </c>
      <c r="L259" s="10" t="s">
        <v>1088</v>
      </c>
      <c r="M259" s="10" t="s">
        <v>1089</v>
      </c>
      <c r="N259" s="9"/>
      <c r="O259" s="9" t="s">
        <v>51</v>
      </c>
      <c r="P259" s="9"/>
      <c r="Q259" s="10"/>
    </row>
    <row r="260" spans="1:17" ht="32" x14ac:dyDescent="0.4">
      <c r="A260" s="14">
        <v>18</v>
      </c>
      <c r="B260" s="9" t="s">
        <v>1018</v>
      </c>
      <c r="C260" s="9" t="s">
        <v>1075</v>
      </c>
      <c r="D260" s="9" t="s">
        <v>1076</v>
      </c>
      <c r="E260" s="9" t="s">
        <v>235</v>
      </c>
      <c r="F260" s="9" t="s">
        <v>44</v>
      </c>
      <c r="G260" s="10" t="s">
        <v>1077</v>
      </c>
      <c r="H260" s="10">
        <v>4</v>
      </c>
      <c r="I260" s="10" t="s">
        <v>1090</v>
      </c>
      <c r="J260" s="10" t="s">
        <v>1091</v>
      </c>
      <c r="K260" s="10" t="s">
        <v>1092</v>
      </c>
      <c r="L260" s="10" t="s">
        <v>1093</v>
      </c>
      <c r="M260" s="10" t="s">
        <v>1094</v>
      </c>
      <c r="N260" s="9"/>
      <c r="O260" s="9" t="s">
        <v>51</v>
      </c>
      <c r="P260" s="9"/>
      <c r="Q260" s="10"/>
    </row>
    <row r="261" spans="1:17" ht="32" x14ac:dyDescent="0.4">
      <c r="A261" s="14">
        <v>18</v>
      </c>
      <c r="B261" s="9" t="s">
        <v>1018</v>
      </c>
      <c r="C261" s="9" t="s">
        <v>1075</v>
      </c>
      <c r="D261" s="9" t="s">
        <v>1076</v>
      </c>
      <c r="E261" s="9" t="s">
        <v>235</v>
      </c>
      <c r="F261" s="9" t="s">
        <v>44</v>
      </c>
      <c r="G261" s="10" t="s">
        <v>1077</v>
      </c>
      <c r="H261" s="10">
        <v>5</v>
      </c>
      <c r="I261" s="10" t="s">
        <v>1095</v>
      </c>
      <c r="J261" s="10" t="s">
        <v>1096</v>
      </c>
      <c r="K261" s="10" t="s">
        <v>1097</v>
      </c>
      <c r="L261" s="10" t="s">
        <v>1098</v>
      </c>
      <c r="M261" s="10" t="s">
        <v>1099</v>
      </c>
      <c r="N261" s="9"/>
      <c r="O261" s="9" t="s">
        <v>51</v>
      </c>
      <c r="P261" s="9"/>
      <c r="Q261" s="10"/>
    </row>
    <row r="262" spans="1:17" ht="32" x14ac:dyDescent="0.4">
      <c r="A262" s="14">
        <v>18</v>
      </c>
      <c r="B262" s="9" t="s">
        <v>1018</v>
      </c>
      <c r="C262" s="9" t="s">
        <v>1075</v>
      </c>
      <c r="D262" s="9" t="s">
        <v>1076</v>
      </c>
      <c r="E262" s="9" t="s">
        <v>235</v>
      </c>
      <c r="F262" s="9" t="s">
        <v>44</v>
      </c>
      <c r="G262" s="10" t="s">
        <v>1077</v>
      </c>
      <c r="H262" s="10">
        <v>6</v>
      </c>
      <c r="I262" s="10" t="s">
        <v>1100</v>
      </c>
      <c r="J262" s="10" t="s">
        <v>4</v>
      </c>
      <c r="K262" s="10" t="s">
        <v>1069</v>
      </c>
      <c r="L262" s="10" t="s">
        <v>1101</v>
      </c>
      <c r="M262" s="10" t="s">
        <v>1102</v>
      </c>
      <c r="N262" s="9"/>
      <c r="O262" s="9" t="s">
        <v>51</v>
      </c>
      <c r="P262" s="9"/>
      <c r="Q262" s="10"/>
    </row>
    <row r="263" spans="1:17" ht="32" x14ac:dyDescent="0.4">
      <c r="A263" s="14">
        <v>18</v>
      </c>
      <c r="B263" s="9" t="s">
        <v>1018</v>
      </c>
      <c r="C263" s="9" t="s">
        <v>1075</v>
      </c>
      <c r="D263" s="9" t="s">
        <v>1076</v>
      </c>
      <c r="E263" s="9" t="s">
        <v>235</v>
      </c>
      <c r="F263" s="9" t="s">
        <v>44</v>
      </c>
      <c r="G263" s="10" t="s">
        <v>1077</v>
      </c>
      <c r="H263" s="10">
        <v>7</v>
      </c>
      <c r="I263" s="10" t="s">
        <v>1103</v>
      </c>
      <c r="J263" s="10" t="s">
        <v>1001</v>
      </c>
      <c r="K263" s="10" t="s">
        <v>373</v>
      </c>
      <c r="L263" s="10" t="s">
        <v>1104</v>
      </c>
      <c r="M263" s="10" t="s">
        <v>1105</v>
      </c>
      <c r="N263" s="9"/>
      <c r="O263" s="9" t="s">
        <v>51</v>
      </c>
      <c r="P263" s="9"/>
      <c r="Q263" s="10"/>
    </row>
  </sheetData>
  <mergeCells count="2">
    <mergeCell ref="A1:Q1"/>
    <mergeCell ref="A2:Q2"/>
  </mergeCells>
  <conditionalFormatting sqref="F5:F263">
    <cfRule type="expression" dxfId="4" priority="5">
      <formula>F5="Critical"</formula>
    </cfRule>
  </conditionalFormatting>
  <conditionalFormatting sqref="O5:O263">
    <cfRule type="expression" dxfId="3" priority="1">
      <formula>O5="Pass"</formula>
    </cfRule>
    <cfRule type="expression" dxfId="2" priority="2">
      <formula>O5="Fail"</formula>
    </cfRule>
    <cfRule type="expression" dxfId="1" priority="3">
      <formula>O5="Blocked"</formula>
    </cfRule>
    <cfRule type="expression" dxfId="0" priority="4">
      <formula>O5="In Progress"</formula>
    </cfRule>
  </conditionalFormatting>
  <dataValidations count="1">
    <dataValidation type="list" allowBlank="1" showInputMessage="1" showErrorMessage="1" sqref="O5:O134 O135:O263" xr:uid="{EEE49ACC-5A89-AA48-8B44-C164164616D8}">
      <formula1>"Not Run,Pass,Fail,Blocked,In Progress,Not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72DF-6186-3C48-A43B-1B9B5643CF98}">
  <dimension ref="A1:B11"/>
  <sheetViews>
    <sheetView workbookViewId="0">
      <selection activeCell="B12" sqref="B12"/>
    </sheetView>
  </sheetViews>
  <sheetFormatPr defaultColWidth="10.6640625" defaultRowHeight="16" x14ac:dyDescent="0.4"/>
  <cols>
    <col min="1" max="1" width="21" customWidth="1"/>
    <col min="2" max="2" width="30.6640625" customWidth="1"/>
  </cols>
  <sheetData>
    <row r="1" spans="1:2" ht="16.5" x14ac:dyDescent="0.4">
      <c r="A1" s="1" t="s">
        <v>0</v>
      </c>
      <c r="B1" s="1" t="s">
        <v>1</v>
      </c>
    </row>
    <row r="2" spans="1:2" x14ac:dyDescent="0.4">
      <c r="A2" s="2" t="s">
        <v>2</v>
      </c>
      <c r="B2" s="20" t="s">
        <v>4</v>
      </c>
    </row>
    <row r="3" spans="1:2" x14ac:dyDescent="0.4">
      <c r="A3" s="3" t="s">
        <v>3</v>
      </c>
      <c r="B3" s="21"/>
    </row>
    <row r="4" spans="1:2" x14ac:dyDescent="0.4">
      <c r="A4" s="4" t="s">
        <v>5</v>
      </c>
      <c r="B4" s="5" t="s">
        <v>14</v>
      </c>
    </row>
    <row r="5" spans="1:2" ht="32" x14ac:dyDescent="0.4">
      <c r="A5" s="4" t="s">
        <v>6</v>
      </c>
      <c r="B5" s="5" t="s">
        <v>15</v>
      </c>
    </row>
    <row r="6" spans="1:2" ht="48" x14ac:dyDescent="0.4">
      <c r="A6" s="4" t="s">
        <v>7</v>
      </c>
      <c r="B6" s="5" t="s">
        <v>16</v>
      </c>
    </row>
    <row r="7" spans="1:2" x14ac:dyDescent="0.4">
      <c r="A7" s="4" t="s">
        <v>8</v>
      </c>
      <c r="B7" s="5" t="s">
        <v>17</v>
      </c>
    </row>
    <row r="8" spans="1:2" ht="32" x14ac:dyDescent="0.4">
      <c r="A8" s="4" t="s">
        <v>9</v>
      </c>
      <c r="B8" s="5" t="s">
        <v>18</v>
      </c>
    </row>
    <row r="9" spans="1:2" ht="32" x14ac:dyDescent="0.4">
      <c r="A9" s="6" t="s">
        <v>10</v>
      </c>
      <c r="B9" s="5" t="s">
        <v>11</v>
      </c>
    </row>
    <row r="10" spans="1:2" x14ac:dyDescent="0.4">
      <c r="A10" s="6" t="s">
        <v>12</v>
      </c>
      <c r="B10" s="5" t="s">
        <v>13</v>
      </c>
    </row>
    <row r="11" spans="1:2" x14ac:dyDescent="0.4">
      <c r="A11" s="7" t="s">
        <v>19</v>
      </c>
      <c r="B11" s="5" t="s">
        <v>20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Coverage</vt:lpstr>
      <vt:lpstr>E2E Test Cases</vt:lpstr>
      <vt:lpstr>ISV and Purpose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Nataraj Jayaram(UST,US)</dc:creator>
  <cp:lastModifiedBy>Hemanth Kumar Gunji(UST,IN)</cp:lastModifiedBy>
  <dcterms:created xsi:type="dcterms:W3CDTF">2026-10-02T14:37:37Z</dcterms:created>
  <dcterms:modified xsi:type="dcterms:W3CDTF">2026-10-09T09:13:58Z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2026-10-05T14:51:40Z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6e299475-d707-4550-965d-b82f442a685c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50, 3, 0, 1</vt:lpwstr>
  </property>
</Properties>
</file>